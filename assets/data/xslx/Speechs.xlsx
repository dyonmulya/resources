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yo Wiranata Mulya\Documents\GitHub\@dyonmulya\resources\assets\data\xslx\"/>
    </mc:Choice>
  </mc:AlternateContent>
  <xr:revisionPtr revIDLastSave="0" documentId="13_ncr:1_{6DF07308-52D7-4C73-8DD0-5C1AC25644F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ADME" sheetId="7" r:id="rId1"/>
    <sheet name="lang_families" sheetId="1" r:id="rId2"/>
    <sheet name="lang_scopes" sheetId="2" r:id="rId3"/>
    <sheet name="lang_scripts" sheetId="3" r:id="rId4"/>
    <sheet name="lang_types" sheetId="4" r:id="rId5"/>
    <sheet name="languages" sheetId="5" r:id="rId6"/>
    <sheet name="locales" sheetId="6" r:id="rId7"/>
  </sheets>
  <definedNames>
    <definedName name="_xlnm._FilterDatabase" localSheetId="1" hidden="1">lang_families!$A$1:$D$119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7" l="1"/>
  <c r="D14" i="7"/>
  <c r="D120" i="1"/>
  <c r="C5" i="2"/>
  <c r="E31" i="3"/>
  <c r="K185" i="5"/>
  <c r="F415" i="6"/>
  <c r="E10" i="7"/>
  <c r="B16" i="7"/>
  <c r="E11" i="7"/>
  <c r="E9" i="7"/>
  <c r="E8" i="7"/>
  <c r="E7" i="7"/>
  <c r="E6" i="7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120" i="5"/>
  <c r="E106" i="5"/>
  <c r="E53" i="5"/>
  <c r="E173" i="5"/>
  <c r="E170" i="5"/>
  <c r="E167" i="5"/>
  <c r="E165" i="5"/>
  <c r="E161" i="5"/>
  <c r="E91" i="5"/>
  <c r="E81" i="5"/>
  <c r="E30" i="5"/>
  <c r="E14" i="5"/>
  <c r="E13" i="5"/>
  <c r="E132" i="5"/>
  <c r="E61" i="5"/>
  <c r="E17" i="5"/>
  <c r="E77" i="5"/>
  <c r="E24" i="5"/>
  <c r="E11" i="5"/>
  <c r="E3" i="5"/>
  <c r="E123" i="5"/>
  <c r="E27" i="5"/>
  <c r="E85" i="5"/>
  <c r="E176" i="5"/>
  <c r="E71" i="5"/>
  <c r="E67" i="5"/>
  <c r="E65" i="5"/>
  <c r="E39" i="5"/>
  <c r="E12" i="5"/>
  <c r="E141" i="5"/>
  <c r="E89" i="5"/>
  <c r="E62" i="5"/>
  <c r="E45" i="5"/>
  <c r="E41" i="5"/>
  <c r="E182" i="5"/>
  <c r="E159" i="5"/>
  <c r="E97" i="5"/>
  <c r="E86" i="5"/>
  <c r="E183" i="5"/>
  <c r="E110" i="5"/>
  <c r="E69" i="5"/>
  <c r="E35" i="5"/>
  <c r="E20" i="5"/>
  <c r="E184" i="5"/>
  <c r="E181" i="5"/>
  <c r="E179" i="5"/>
  <c r="E178" i="5"/>
  <c r="E174" i="5"/>
  <c r="E168" i="5"/>
  <c r="E166" i="5"/>
  <c r="E163" i="5"/>
  <c r="E155" i="5"/>
  <c r="E152" i="5"/>
  <c r="E151" i="5"/>
  <c r="E147" i="5"/>
  <c r="E137" i="5"/>
  <c r="E134" i="5"/>
  <c r="E121" i="5"/>
  <c r="E119" i="5"/>
  <c r="E115" i="5"/>
  <c r="E113" i="5"/>
  <c r="E99" i="5"/>
  <c r="E96" i="5"/>
  <c r="E94" i="5"/>
  <c r="E80" i="5"/>
  <c r="E79" i="5"/>
  <c r="E78" i="5"/>
  <c r="E68" i="5"/>
  <c r="E64" i="5"/>
  <c r="E44" i="5"/>
  <c r="E36" i="5"/>
  <c r="E18" i="5"/>
  <c r="E6" i="5"/>
  <c r="E169" i="5"/>
  <c r="E164" i="5"/>
  <c r="E162" i="5"/>
  <c r="E153" i="5"/>
  <c r="E146" i="5"/>
  <c r="E111" i="5"/>
  <c r="E108" i="5"/>
  <c r="E103" i="5"/>
  <c r="E102" i="5"/>
  <c r="E101" i="5"/>
  <c r="E76" i="5"/>
  <c r="E66" i="5"/>
  <c r="E59" i="5"/>
  <c r="E46" i="5"/>
  <c r="E25" i="5"/>
  <c r="E75" i="5"/>
  <c r="E180" i="5"/>
  <c r="E177" i="5"/>
  <c r="E172" i="5"/>
  <c r="E171" i="5"/>
  <c r="E158" i="5"/>
  <c r="E154" i="5"/>
  <c r="E150" i="5"/>
  <c r="E149" i="5"/>
  <c r="E145" i="5"/>
  <c r="E144" i="5"/>
  <c r="E143" i="5"/>
  <c r="E140" i="5"/>
  <c r="E139" i="5"/>
  <c r="E138" i="5"/>
  <c r="E136" i="5"/>
  <c r="E135" i="5"/>
  <c r="E133" i="5"/>
  <c r="E131" i="5"/>
  <c r="E130" i="5"/>
  <c r="E129" i="5"/>
  <c r="E128" i="5"/>
  <c r="E127" i="5"/>
  <c r="E126" i="5"/>
  <c r="E125" i="5"/>
  <c r="E122" i="5"/>
  <c r="E118" i="5"/>
  <c r="E117" i="5"/>
  <c r="E116" i="5"/>
  <c r="E114" i="5"/>
  <c r="E112" i="5"/>
  <c r="E107" i="5"/>
  <c r="E104" i="5"/>
  <c r="E100" i="5"/>
  <c r="E98" i="5"/>
  <c r="E95" i="5"/>
  <c r="E93" i="5"/>
  <c r="E92" i="5"/>
  <c r="E90" i="5"/>
  <c r="E88" i="5"/>
  <c r="E87" i="5"/>
  <c r="E73" i="5"/>
  <c r="E72" i="5"/>
  <c r="E63" i="5"/>
  <c r="E60" i="5"/>
  <c r="E58" i="5"/>
  <c r="E55" i="5"/>
  <c r="E54" i="5"/>
  <c r="E52" i="5"/>
  <c r="E51" i="5"/>
  <c r="E50" i="5"/>
  <c r="E49" i="5"/>
  <c r="E48" i="5"/>
  <c r="E47" i="5"/>
  <c r="E43" i="5"/>
  <c r="E40" i="5"/>
  <c r="E38" i="5"/>
  <c r="E37" i="5"/>
  <c r="E34" i="5"/>
  <c r="E33" i="5"/>
  <c r="E32" i="5"/>
  <c r="E31" i="5"/>
  <c r="E29" i="5"/>
  <c r="E28" i="5"/>
  <c r="E26" i="5"/>
  <c r="E23" i="5"/>
  <c r="E22" i="5"/>
  <c r="E21" i="5"/>
  <c r="E19" i="5"/>
  <c r="E16" i="5"/>
  <c r="E15" i="5"/>
  <c r="E10" i="5"/>
  <c r="E8" i="5"/>
  <c r="E5" i="5"/>
  <c r="E4" i="5"/>
  <c r="E42" i="5"/>
  <c r="E82" i="5"/>
  <c r="E74" i="5"/>
  <c r="E70" i="5"/>
  <c r="E157" i="5"/>
  <c r="E156" i="5"/>
  <c r="E105" i="5"/>
  <c r="E84" i="5"/>
  <c r="E142" i="5"/>
  <c r="E160" i="5"/>
  <c r="E148" i="5"/>
  <c r="E124" i="5"/>
  <c r="E109" i="5"/>
  <c r="E57" i="5"/>
  <c r="E56" i="5"/>
  <c r="E9" i="5"/>
  <c r="E7" i="5"/>
  <c r="E2" i="5"/>
  <c r="E175" i="5"/>
  <c r="E83" i="5"/>
  <c r="F183" i="5"/>
  <c r="F182" i="5"/>
  <c r="F180" i="5"/>
  <c r="F173" i="5"/>
  <c r="F155" i="5"/>
  <c r="F149" i="5"/>
  <c r="F139" i="5"/>
  <c r="F132" i="5"/>
  <c r="F130" i="5"/>
  <c r="F125" i="5"/>
  <c r="F124" i="5"/>
  <c r="F123" i="5"/>
  <c r="F118" i="5"/>
  <c r="F114" i="5"/>
  <c r="F108" i="5"/>
  <c r="F106" i="5"/>
  <c r="F101" i="5"/>
  <c r="F100" i="5"/>
  <c r="F89" i="5"/>
  <c r="F88" i="5"/>
  <c r="F86" i="5"/>
  <c r="F78" i="5"/>
  <c r="F74" i="5"/>
  <c r="F70" i="5"/>
  <c r="F53" i="5"/>
  <c r="F44" i="5"/>
  <c r="F43" i="5"/>
  <c r="F41" i="5"/>
  <c r="F27" i="5"/>
  <c r="F13" i="5"/>
  <c r="F12" i="5"/>
  <c r="F9" i="5"/>
  <c r="F6" i="5"/>
  <c r="F184" i="5"/>
  <c r="F181" i="5"/>
  <c r="F179" i="5"/>
  <c r="F178" i="5"/>
  <c r="F177" i="5"/>
  <c r="F176" i="5"/>
  <c r="F175" i="5"/>
  <c r="F174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4" i="5"/>
  <c r="F153" i="5"/>
  <c r="F152" i="5"/>
  <c r="F151" i="5"/>
  <c r="F150" i="5"/>
  <c r="F148" i="5"/>
  <c r="F147" i="5"/>
  <c r="F146" i="5"/>
  <c r="F145" i="5"/>
  <c r="F144" i="5"/>
  <c r="F143" i="5"/>
  <c r="F142" i="5"/>
  <c r="F141" i="5"/>
  <c r="F140" i="5"/>
  <c r="F138" i="5"/>
  <c r="F137" i="5"/>
  <c r="F136" i="5"/>
  <c r="F135" i="5"/>
  <c r="F134" i="5"/>
  <c r="F133" i="5"/>
  <c r="F131" i="5"/>
  <c r="F129" i="5"/>
  <c r="F128" i="5"/>
  <c r="F127" i="5"/>
  <c r="F126" i="5"/>
  <c r="F122" i="5"/>
  <c r="F121" i="5"/>
  <c r="F120" i="5"/>
  <c r="F119" i="5"/>
  <c r="F117" i="5"/>
  <c r="F116" i="5"/>
  <c r="F115" i="5"/>
  <c r="F113" i="5"/>
  <c r="F112" i="5"/>
  <c r="F111" i="5"/>
  <c r="F110" i="5"/>
  <c r="F109" i="5"/>
  <c r="F107" i="5"/>
  <c r="F105" i="5"/>
  <c r="F104" i="5"/>
  <c r="F103" i="5"/>
  <c r="F102" i="5"/>
  <c r="F99" i="5"/>
  <c r="F98" i="5"/>
  <c r="F97" i="5"/>
  <c r="F96" i="5"/>
  <c r="F95" i="5"/>
  <c r="F94" i="5"/>
  <c r="F93" i="5"/>
  <c r="F92" i="5"/>
  <c r="F91" i="5"/>
  <c r="F90" i="5"/>
  <c r="F87" i="5"/>
  <c r="F85" i="5"/>
  <c r="F84" i="5"/>
  <c r="F83" i="5"/>
  <c r="F82" i="5"/>
  <c r="F81" i="5"/>
  <c r="F80" i="5"/>
  <c r="F79" i="5"/>
  <c r="F77" i="5"/>
  <c r="F76" i="5"/>
  <c r="F75" i="5"/>
  <c r="F73" i="5"/>
  <c r="F72" i="5"/>
  <c r="F71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2" i="5"/>
  <c r="F51" i="5"/>
  <c r="F50" i="5"/>
  <c r="F49" i="5"/>
  <c r="F48" i="5"/>
  <c r="F47" i="5"/>
  <c r="F46" i="5"/>
  <c r="F45" i="5"/>
  <c r="F42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1" i="5"/>
  <c r="F10" i="5"/>
  <c r="F8" i="5"/>
  <c r="F7" i="5"/>
  <c r="F5" i="5"/>
  <c r="F4" i="5"/>
  <c r="F3" i="5"/>
  <c r="F2" i="5"/>
  <c r="G183" i="5"/>
  <c r="G159" i="5"/>
  <c r="G157" i="5"/>
  <c r="G156" i="5"/>
  <c r="G143" i="5"/>
  <c r="G127" i="5"/>
  <c r="G125" i="5"/>
  <c r="G110" i="5"/>
  <c r="G105" i="5"/>
  <c r="G97" i="5"/>
  <c r="G85" i="5"/>
  <c r="G84" i="5"/>
  <c r="G83" i="5"/>
  <c r="G77" i="5"/>
  <c r="G75" i="5"/>
  <c r="G69" i="5"/>
  <c r="G63" i="5"/>
  <c r="G58" i="5"/>
  <c r="G138" i="5"/>
  <c r="G114" i="5"/>
  <c r="G107" i="5"/>
  <c r="G180" i="5"/>
  <c r="G57" i="5"/>
  <c r="G54" i="5"/>
  <c r="G37" i="5"/>
  <c r="G34" i="5"/>
  <c r="G123" i="5"/>
  <c r="G74" i="5"/>
  <c r="G27" i="5"/>
  <c r="G35" i="5"/>
  <c r="G20" i="5"/>
  <c r="G19" i="5"/>
  <c r="G10" i="5"/>
  <c r="G88" i="5"/>
  <c r="G172" i="5"/>
  <c r="G170" i="5"/>
  <c r="G140" i="5"/>
  <c r="G130" i="5"/>
  <c r="G87" i="5"/>
  <c r="G43" i="5"/>
  <c r="G9" i="5"/>
  <c r="G160" i="5"/>
  <c r="G7" i="5"/>
  <c r="G173" i="5"/>
  <c r="G171" i="5"/>
  <c r="G167" i="5"/>
  <c r="G161" i="5"/>
  <c r="G158" i="5"/>
  <c r="G150" i="5"/>
  <c r="G136" i="5"/>
  <c r="G126" i="5"/>
  <c r="G106" i="5"/>
  <c r="G104" i="5"/>
  <c r="G91" i="5"/>
  <c r="G89" i="5"/>
  <c r="G81" i="5"/>
  <c r="G30" i="5"/>
  <c r="G29" i="5"/>
  <c r="G24" i="5"/>
  <c r="G16" i="5"/>
  <c r="G15" i="5"/>
  <c r="G14" i="5"/>
  <c r="G11" i="5"/>
  <c r="G3" i="5"/>
  <c r="G184" i="5"/>
  <c r="G182" i="5"/>
  <c r="G181" i="5"/>
  <c r="G179" i="5"/>
  <c r="G178" i="5"/>
  <c r="G177" i="5"/>
  <c r="G176" i="5"/>
  <c r="G175" i="5"/>
  <c r="G174" i="5"/>
  <c r="G169" i="5"/>
  <c r="G168" i="5"/>
  <c r="G166" i="5"/>
  <c r="G165" i="5"/>
  <c r="G164" i="5"/>
  <c r="G163" i="5"/>
  <c r="G162" i="5"/>
  <c r="G155" i="5"/>
  <c r="G154" i="5"/>
  <c r="G153" i="5"/>
  <c r="G152" i="5"/>
  <c r="G151" i="5"/>
  <c r="G149" i="5"/>
  <c r="G148" i="5"/>
  <c r="G147" i="5"/>
  <c r="G146" i="5"/>
  <c r="G145" i="5"/>
  <c r="G144" i="5"/>
  <c r="G142" i="5"/>
  <c r="G141" i="5"/>
  <c r="G139" i="5"/>
  <c r="G137" i="5"/>
  <c r="G135" i="5"/>
  <c r="G134" i="5"/>
  <c r="G133" i="5"/>
  <c r="G132" i="5"/>
  <c r="G131" i="5"/>
  <c r="G129" i="5"/>
  <c r="G128" i="5"/>
  <c r="G124" i="5"/>
  <c r="G122" i="5"/>
  <c r="G121" i="5"/>
  <c r="G120" i="5"/>
  <c r="G119" i="5"/>
  <c r="G118" i="5"/>
  <c r="G117" i="5"/>
  <c r="G116" i="5"/>
  <c r="G115" i="5"/>
  <c r="G113" i="5"/>
  <c r="G112" i="5"/>
  <c r="G111" i="5"/>
  <c r="G109" i="5"/>
  <c r="G108" i="5"/>
  <c r="G103" i="5"/>
  <c r="G102" i="5"/>
  <c r="G101" i="5"/>
  <c r="G100" i="5"/>
  <c r="G99" i="5"/>
  <c r="G98" i="5"/>
  <c r="G96" i="5"/>
  <c r="G95" i="5"/>
  <c r="G94" i="5"/>
  <c r="G93" i="5"/>
  <c r="G92" i="5"/>
  <c r="G90" i="5"/>
  <c r="G86" i="5"/>
  <c r="G82" i="5"/>
  <c r="G80" i="5"/>
  <c r="G79" i="5"/>
  <c r="G78" i="5"/>
  <c r="G76" i="5"/>
  <c r="G73" i="5"/>
  <c r="G72" i="5"/>
  <c r="G71" i="5"/>
  <c r="G70" i="5"/>
  <c r="G68" i="5"/>
  <c r="G67" i="5"/>
  <c r="G66" i="5"/>
  <c r="G65" i="5"/>
  <c r="G64" i="5"/>
  <c r="G62" i="5"/>
  <c r="G61" i="5"/>
  <c r="G60" i="5"/>
  <c r="G59" i="5"/>
  <c r="G56" i="5"/>
  <c r="G55" i="5"/>
  <c r="G53" i="5"/>
  <c r="G52" i="5"/>
  <c r="G51" i="5"/>
  <c r="G50" i="5"/>
  <c r="G49" i="5"/>
  <c r="G48" i="5"/>
  <c r="G47" i="5"/>
  <c r="G46" i="5"/>
  <c r="G45" i="5"/>
  <c r="G44" i="5"/>
  <c r="G42" i="5"/>
  <c r="G41" i="5"/>
  <c r="G40" i="5"/>
  <c r="G39" i="5"/>
  <c r="G38" i="5"/>
  <c r="G36" i="5"/>
  <c r="G33" i="5"/>
  <c r="G32" i="5"/>
  <c r="G31" i="5"/>
  <c r="G28" i="5"/>
  <c r="G26" i="5"/>
  <c r="G25" i="5"/>
  <c r="G23" i="5"/>
  <c r="G22" i="5"/>
  <c r="G21" i="5"/>
  <c r="G18" i="5"/>
  <c r="G17" i="5"/>
  <c r="G13" i="5"/>
  <c r="G12" i="5"/>
  <c r="G8" i="5"/>
  <c r="G6" i="5"/>
  <c r="G5" i="5"/>
  <c r="G4" i="5"/>
  <c r="G2" i="5"/>
  <c r="H184" i="5"/>
  <c r="H183" i="5"/>
  <c r="H182" i="5"/>
  <c r="H181" i="5"/>
  <c r="H180" i="5"/>
  <c r="H179" i="5"/>
  <c r="H178" i="5"/>
  <c r="H177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7" i="5"/>
  <c r="H136" i="5"/>
  <c r="H135" i="5"/>
  <c r="H134" i="5"/>
  <c r="H133" i="5"/>
  <c r="H132" i="5"/>
  <c r="H131" i="5"/>
  <c r="H130" i="5"/>
  <c r="H129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0" i="5"/>
  <c r="H69" i="5"/>
  <c r="H68" i="5"/>
  <c r="H66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8" i="5"/>
  <c r="H37" i="5"/>
  <c r="H36" i="5"/>
  <c r="H35" i="5"/>
  <c r="H34" i="5"/>
  <c r="H33" i="5"/>
  <c r="H32" i="5"/>
  <c r="H31" i="5"/>
  <c r="H30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3" i="5"/>
  <c r="H2" i="5"/>
  <c r="H176" i="5"/>
  <c r="H71" i="5"/>
  <c r="H67" i="5"/>
  <c r="H65" i="5"/>
  <c r="H39" i="5"/>
  <c r="H29" i="5"/>
  <c r="H92" i="5"/>
  <c r="H128" i="5"/>
  <c r="H138" i="5"/>
  <c r="H4" i="5"/>
  <c r="C8" i="4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4" i="1"/>
  <c r="B106" i="1"/>
  <c r="B105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Dyo Wiranata Mulya</author>
  </authors>
  <commentList>
    <comment ref="B1" authorId="0" shapeId="0" xr:uid="{655FE84F-82A7-472C-BE3D-6D7158B60CE5}">
      <text>
        <r>
          <rPr>
            <b/>
            <sz val="9"/>
            <color indexed="81"/>
            <rFont val="Tahoma"/>
            <family val="2"/>
          </rPr>
          <t>Dyo Wiranata Mulya:</t>
        </r>
        <r>
          <rPr>
            <sz val="9"/>
            <color indexed="81"/>
            <rFont val="Tahoma"/>
            <family val="2"/>
          </rPr>
          <t xml:space="preserve">
Table: lang_families
Field: id
If empty = root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Dyo Wiranata Mulya</author>
  </authors>
  <commentList>
    <comment ref="E1" authorId="0" shapeId="0" xr:uid="{07A64735-5484-4DAF-BB77-326098EC70F7}">
      <text>
        <r>
          <rPr>
            <b/>
            <sz val="9"/>
            <color indexed="81"/>
            <rFont val="Tahoma"/>
            <family val="2"/>
          </rPr>
          <t>Dyo Wiranata Mulya:</t>
        </r>
        <r>
          <rPr>
            <sz val="9"/>
            <color indexed="81"/>
            <rFont val="Tahoma"/>
            <family val="2"/>
          </rPr>
          <t xml:space="preserve">
Table: lang_families
Field: id
on UPDATE: CASCADE
on DELETE: CASCADE</t>
        </r>
      </text>
    </comment>
    <comment ref="F1" authorId="0" shapeId="0" xr:uid="{E077E834-093E-41B7-85FC-5F1C87A09B46}">
      <text>
        <r>
          <rPr>
            <b/>
            <sz val="9"/>
            <color indexed="81"/>
            <rFont val="Tahoma"/>
            <family val="2"/>
          </rPr>
          <t>Dyo Wiranata Mulya:</t>
        </r>
        <r>
          <rPr>
            <sz val="9"/>
            <color indexed="81"/>
            <rFont val="Tahoma"/>
            <family val="2"/>
          </rPr>
          <t xml:space="preserve">
Table: lang_scopes
Field: id
on UPDATE: CASCADE
on DELETE: CASCADE</t>
        </r>
      </text>
    </comment>
    <comment ref="G1" authorId="0" shapeId="0" xr:uid="{F4B67190-8D16-4905-B6DD-F6989CCB9B95}">
      <text>
        <r>
          <rPr>
            <b/>
            <sz val="9"/>
            <color indexed="81"/>
            <rFont val="Tahoma"/>
            <family val="2"/>
          </rPr>
          <t>Dyo Wiranata Mulya:</t>
        </r>
        <r>
          <rPr>
            <sz val="9"/>
            <color indexed="81"/>
            <rFont val="Tahoma"/>
            <family val="2"/>
          </rPr>
          <t xml:space="preserve">
Table: lang_scripts
Field: id
on UPDATE: CASCADE
on DELETE: CASCADE</t>
        </r>
      </text>
    </comment>
    <comment ref="H1" authorId="0" shapeId="0" xr:uid="{B3BC827C-D28F-4CE7-A910-96D646FEBE70}">
      <text>
        <r>
          <rPr>
            <b/>
            <sz val="9"/>
            <color indexed="81"/>
            <rFont val="Tahoma"/>
            <family val="2"/>
          </rPr>
          <t>Dyo Wiranata Mulya:</t>
        </r>
        <r>
          <rPr>
            <sz val="9"/>
            <color indexed="81"/>
            <rFont val="Tahoma"/>
            <family val="2"/>
          </rPr>
          <t xml:space="preserve">
Table: lang_types
Field: id
on UPDATE: CASCADE
on DELETE: CASCADE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Dyo Wiranata Mulya</author>
  </authors>
  <commentList>
    <comment ref="E1" authorId="0" shapeId="0" xr:uid="{D72A41D7-C497-43EC-B1AA-3C1BB4785F97}">
      <text>
        <r>
          <rPr>
            <b/>
            <sz val="9"/>
            <color indexed="81"/>
            <rFont val="Tahoma"/>
            <family val="2"/>
          </rPr>
          <t>Dyo Wiranata Mulya:</t>
        </r>
        <r>
          <rPr>
            <sz val="9"/>
            <color indexed="81"/>
            <rFont val="Tahoma"/>
            <family val="2"/>
          </rPr>
          <t xml:space="preserve">
Table: languages
Field: id
on UPDATE: CASCADE
on DELETE: CASCADE</t>
        </r>
      </text>
    </comment>
  </commentList>
</comments>
</file>

<file path=xl/sharedStrings.xml><?xml version="1.0" encoding="utf-8"?>
<sst xmlns="http://schemas.openxmlformats.org/spreadsheetml/2006/main" count="2734" uniqueCount="1902">
  <si>
    <t>id</t>
  </si>
  <si>
    <t>parent_id</t>
  </si>
  <si>
    <t>name</t>
  </si>
  <si>
    <t>iso_639_5</t>
  </si>
  <si>
    <t>aav</t>
  </si>
  <si>
    <t>Austro-Asiatic languages</t>
  </si>
  <si>
    <t>afa</t>
  </si>
  <si>
    <t>Afro-Asiatic languages</t>
  </si>
  <si>
    <t>art</t>
  </si>
  <si>
    <t>Artificial languages</t>
  </si>
  <si>
    <t>aus</t>
  </si>
  <si>
    <t>Australian languages</t>
  </si>
  <si>
    <t>cai</t>
  </si>
  <si>
    <t>Central American Indian languages</t>
  </si>
  <si>
    <t>cau</t>
  </si>
  <si>
    <t>Caucasian languages</t>
  </si>
  <si>
    <t>crp</t>
  </si>
  <si>
    <t>creoles and pidgins</t>
  </si>
  <si>
    <t>day</t>
  </si>
  <si>
    <t>Land Dayak languages</t>
  </si>
  <si>
    <t>dra</t>
  </si>
  <si>
    <t>Dravidian languages</t>
  </si>
  <si>
    <t>esx</t>
  </si>
  <si>
    <t>Eskimo-Aleut languages</t>
  </si>
  <si>
    <t>euq</t>
  </si>
  <si>
    <t>Basque (family)</t>
  </si>
  <si>
    <t>hmx</t>
  </si>
  <si>
    <t>Hmong-Mien languages</t>
  </si>
  <si>
    <t>ine</t>
  </si>
  <si>
    <t>Indo-European languages</t>
  </si>
  <si>
    <t>jpx</t>
  </si>
  <si>
    <t>Japanese (family)</t>
  </si>
  <si>
    <t>khi</t>
  </si>
  <si>
    <t>Khoisan languages</t>
  </si>
  <si>
    <t>map</t>
  </si>
  <si>
    <t>Austronesian languages</t>
  </si>
  <si>
    <t>nai</t>
  </si>
  <si>
    <t>North American Indian languages</t>
  </si>
  <si>
    <t>nic</t>
  </si>
  <si>
    <t>Niger-Kordofanian languages</t>
  </si>
  <si>
    <t>paa</t>
  </si>
  <si>
    <t>Papuan languages</t>
  </si>
  <si>
    <t>sai</t>
  </si>
  <si>
    <t>South American Indian languages</t>
  </si>
  <si>
    <t>sgn</t>
  </si>
  <si>
    <t>sign languages</t>
  </si>
  <si>
    <t>sit</t>
  </si>
  <si>
    <t>Sino-Tibetan languages</t>
  </si>
  <si>
    <t>ssa</t>
  </si>
  <si>
    <t>Nilo-Saharan languages</t>
  </si>
  <si>
    <t>tai</t>
  </si>
  <si>
    <t>Tai languages</t>
  </si>
  <si>
    <t>tut</t>
  </si>
  <si>
    <t>Altaic languages</t>
  </si>
  <si>
    <t>urj</t>
  </si>
  <si>
    <t>Uralic languages</t>
  </si>
  <si>
    <t>aym</t>
  </si>
  <si>
    <t>Aymaran</t>
  </si>
  <si>
    <t>con</t>
  </si>
  <si>
    <t>Constructed</t>
  </si>
  <si>
    <t>kor</t>
  </si>
  <si>
    <t>Koreanic</t>
  </si>
  <si>
    <t>alv</t>
  </si>
  <si>
    <t>Atlantic-Congo languages</t>
  </si>
  <si>
    <t>aqa</t>
  </si>
  <si>
    <t>Alacalufan languages</t>
  </si>
  <si>
    <t>aql</t>
  </si>
  <si>
    <t>Algic languages</t>
  </si>
  <si>
    <t>awd</t>
  </si>
  <si>
    <t>Arawakan languages</t>
  </si>
  <si>
    <t>azc</t>
  </si>
  <si>
    <t>Uto-Aztecan languages</t>
  </si>
  <si>
    <t>bat</t>
  </si>
  <si>
    <t>Baltic languages</t>
  </si>
  <si>
    <t>ber</t>
  </si>
  <si>
    <t>Berber languages</t>
  </si>
  <si>
    <t>cba</t>
  </si>
  <si>
    <t>Chibchan languages</t>
  </si>
  <si>
    <t>ccn</t>
  </si>
  <si>
    <t>North Caucasian languages</t>
  </si>
  <si>
    <t>ccs</t>
  </si>
  <si>
    <t>South Caucasian languages</t>
  </si>
  <si>
    <t>cdc</t>
  </si>
  <si>
    <t>Chadic languages</t>
  </si>
  <si>
    <t>cdd</t>
  </si>
  <si>
    <t>Caddoan languages</t>
  </si>
  <si>
    <t>cel</t>
  </si>
  <si>
    <t>Celtic languages</t>
  </si>
  <si>
    <t>cpe</t>
  </si>
  <si>
    <t>creoles and pidgins, English-based</t>
  </si>
  <si>
    <t>cpf</t>
  </si>
  <si>
    <t>creoles and pidgins, French-based</t>
  </si>
  <si>
    <t>cpp</t>
  </si>
  <si>
    <t>creoles and pidgins, Portuguese-based</t>
  </si>
  <si>
    <t>csu</t>
  </si>
  <si>
    <t>Central Sudanic languages</t>
  </si>
  <si>
    <t>cus</t>
  </si>
  <si>
    <t>Cushitic languages</t>
  </si>
  <si>
    <t>dmn</t>
  </si>
  <si>
    <t>Mande languages</t>
  </si>
  <si>
    <t>egx</t>
  </si>
  <si>
    <t>Egyptian languages</t>
  </si>
  <si>
    <t>fiu</t>
  </si>
  <si>
    <t>Finno-Ugrian languages</t>
  </si>
  <si>
    <t>fox</t>
  </si>
  <si>
    <t>Formosan languages</t>
  </si>
  <si>
    <t>gem</t>
  </si>
  <si>
    <t>Germanic languages</t>
  </si>
  <si>
    <t>grk</t>
  </si>
  <si>
    <t>Greek languages</t>
  </si>
  <si>
    <t>hok</t>
  </si>
  <si>
    <t>Hokan languages</t>
  </si>
  <si>
    <t>hyx</t>
  </si>
  <si>
    <t>Armenian (family)</t>
  </si>
  <si>
    <t>iir</t>
  </si>
  <si>
    <t>Indo-Iranian languages</t>
  </si>
  <si>
    <t>iro</t>
  </si>
  <si>
    <t>Iroquoian languages</t>
  </si>
  <si>
    <t>itc</t>
  </si>
  <si>
    <t>Italic languages</t>
  </si>
  <si>
    <t>kdo</t>
  </si>
  <si>
    <t>Kordofanian languages</t>
  </si>
  <si>
    <t>mkh</t>
  </si>
  <si>
    <t>Mon-Khmer languages</t>
  </si>
  <si>
    <t>mun</t>
  </si>
  <si>
    <t>Munda languages</t>
  </si>
  <si>
    <t>myn</t>
  </si>
  <si>
    <t>Mayan languages</t>
  </si>
  <si>
    <t>ngf</t>
  </si>
  <si>
    <t>Trans-New Guinea languages</t>
  </si>
  <si>
    <t>omq</t>
  </si>
  <si>
    <t>Oto-Manguean languages</t>
  </si>
  <si>
    <t>omv</t>
  </si>
  <si>
    <t>Omotic languages</t>
  </si>
  <si>
    <t>poz</t>
  </si>
  <si>
    <t>Malayo-Polynesian languages</t>
  </si>
  <si>
    <t>qwe</t>
  </si>
  <si>
    <t>Quechuan (family)</t>
  </si>
  <si>
    <t>sal</t>
  </si>
  <si>
    <t>Salishan languages</t>
  </si>
  <si>
    <t>sdv</t>
  </si>
  <si>
    <t>Eastern Sudanic languages</t>
  </si>
  <si>
    <t>sem</t>
  </si>
  <si>
    <t>Semitic languages</t>
  </si>
  <si>
    <t>sio</t>
  </si>
  <si>
    <t>Siouan languages</t>
  </si>
  <si>
    <t>sla</t>
  </si>
  <si>
    <t>Slavic languages</t>
  </si>
  <si>
    <t>son</t>
  </si>
  <si>
    <t>Songhai languages</t>
  </si>
  <si>
    <t>sqj</t>
  </si>
  <si>
    <t>Albanian languages</t>
  </si>
  <si>
    <t>syd</t>
  </si>
  <si>
    <t>Samoyedic languages</t>
  </si>
  <si>
    <t>tbq</t>
  </si>
  <si>
    <t>Tibeto-Burman languages</t>
  </si>
  <si>
    <t>trk</t>
  </si>
  <si>
    <t>Turkic languages</t>
  </si>
  <si>
    <t>tup</t>
  </si>
  <si>
    <t>Tupi languages</t>
  </si>
  <si>
    <t>tuw</t>
  </si>
  <si>
    <t>Tungus languages</t>
  </si>
  <si>
    <t>wak</t>
  </si>
  <si>
    <t>Wakashan languages</t>
  </si>
  <si>
    <t>xgn</t>
  </si>
  <si>
    <t>Mongolian languages</t>
  </si>
  <si>
    <t>xnd</t>
  </si>
  <si>
    <t>Na-Dene languages</t>
  </si>
  <si>
    <t>ypk</t>
  </si>
  <si>
    <t>Yupik languages</t>
  </si>
  <si>
    <t>zhx</t>
  </si>
  <si>
    <t>Chinese (family)</t>
  </si>
  <si>
    <t>alg</t>
  </si>
  <si>
    <t>Algonquian languages</t>
  </si>
  <si>
    <t>ath</t>
  </si>
  <si>
    <t>Athapascan languages</t>
  </si>
  <si>
    <t>auf</t>
  </si>
  <si>
    <t>Arauan languages</t>
  </si>
  <si>
    <t>bad</t>
  </si>
  <si>
    <t>Banda languages</t>
  </si>
  <si>
    <t>bai</t>
  </si>
  <si>
    <t>Bamileke languages</t>
  </si>
  <si>
    <t>bih</t>
  </si>
  <si>
    <t>Bihari languages</t>
  </si>
  <si>
    <t>bnt</t>
  </si>
  <si>
    <t>Bantu languages</t>
  </si>
  <si>
    <t>gme</t>
  </si>
  <si>
    <t>East Germanic languages</t>
  </si>
  <si>
    <t>gmq</t>
  </si>
  <si>
    <t>North Germanic languages</t>
  </si>
  <si>
    <t>gmw</t>
  </si>
  <si>
    <t>West Germanic languages</t>
  </si>
  <si>
    <t>ijo</t>
  </si>
  <si>
    <t>Ijo languages</t>
  </si>
  <si>
    <t>inc</t>
  </si>
  <si>
    <t>Indic languages</t>
  </si>
  <si>
    <t>ira</t>
  </si>
  <si>
    <t>Iranian languages</t>
  </si>
  <si>
    <t>kar</t>
  </si>
  <si>
    <t>Karen languages</t>
  </si>
  <si>
    <t>kro</t>
  </si>
  <si>
    <t>Kru languages</t>
  </si>
  <si>
    <t>nah</t>
  </si>
  <si>
    <t>Nahuatl languages</t>
  </si>
  <si>
    <t>nub</t>
  </si>
  <si>
    <t>Nubian languages</t>
  </si>
  <si>
    <t>oto</t>
  </si>
  <si>
    <t>Otomian languages</t>
  </si>
  <si>
    <t>plf</t>
  </si>
  <si>
    <t>Central Malayo-Polynesian languages</t>
  </si>
  <si>
    <t>pqe</t>
  </si>
  <si>
    <t>Eastern Malayo-Polynesian languages</t>
  </si>
  <si>
    <t>pqw</t>
  </si>
  <si>
    <t>Western Malayo-Polynesian languages</t>
  </si>
  <si>
    <t>roa</t>
  </si>
  <si>
    <t>Romance languages</t>
  </si>
  <si>
    <t>smi</t>
  </si>
  <si>
    <t>Sami languages</t>
  </si>
  <si>
    <t>zle</t>
  </si>
  <si>
    <t>East Slavic languages</t>
  </si>
  <si>
    <t>zls</t>
  </si>
  <si>
    <t>South Slavic languages</t>
  </si>
  <si>
    <t>zlw</t>
  </si>
  <si>
    <t>West Slavic languages</t>
  </si>
  <si>
    <t>znd</t>
  </si>
  <si>
    <t>Zande languages</t>
  </si>
  <si>
    <t>apa</t>
  </si>
  <si>
    <t>Apache languages</t>
  </si>
  <si>
    <t>btk</t>
  </si>
  <si>
    <t>Batak languages</t>
  </si>
  <si>
    <t>cmc</t>
  </si>
  <si>
    <t>Chamic languages</t>
  </si>
  <si>
    <t>phi</t>
  </si>
  <si>
    <t>Philippine languages</t>
  </si>
  <si>
    <t>pra</t>
  </si>
  <si>
    <t>Prakrit languages</t>
  </si>
  <si>
    <t>wen</t>
  </si>
  <si>
    <t>Sorbian languages</t>
  </si>
  <si>
    <t>mno</t>
  </si>
  <si>
    <t>Manobo languages</t>
  </si>
  <si>
    <t>Total</t>
  </si>
  <si>
    <t>description</t>
  </si>
  <si>
    <t>individual language</t>
  </si>
  <si>
    <t>Normal, single language.</t>
  </si>
  <si>
    <t>macrolanguage</t>
  </si>
  <si>
    <t>One-to-many grouping of languages, because older ISO 639s included them.</t>
  </si>
  <si>
    <t>special code</t>
  </si>
  <si>
    <t>Non-language codes.</t>
  </si>
  <si>
    <t>iso_15924_code</t>
  </si>
  <si>
    <t>iso_15924_numeric</t>
  </si>
  <si>
    <t>direction</t>
  </si>
  <si>
    <t>Latn</t>
  </si>
  <si>
    <t>Latin</t>
  </si>
  <si>
    <t>ltr</t>
  </si>
  <si>
    <t>Cyrl</t>
  </si>
  <si>
    <t>Cyrillic</t>
  </si>
  <si>
    <t>Ethi</t>
  </si>
  <si>
    <t>Ethiopic (Ge_ez)</t>
  </si>
  <si>
    <t>Arab</t>
  </si>
  <si>
    <t>Arabic</t>
  </si>
  <si>
    <t>rtl</t>
  </si>
  <si>
    <t>Beng</t>
  </si>
  <si>
    <t>Bengali</t>
  </si>
  <si>
    <t>Tibt</t>
  </si>
  <si>
    <t>Tibetan</t>
  </si>
  <si>
    <t>Cans</t>
  </si>
  <si>
    <t>Unified Canadian Aboriginal Syllabics</t>
  </si>
  <si>
    <t>Thaa</t>
  </si>
  <si>
    <t>Thaana</t>
  </si>
  <si>
    <t>Grek</t>
  </si>
  <si>
    <t>Greek</t>
  </si>
  <si>
    <t>Gujr</t>
  </si>
  <si>
    <t>Gujarati</t>
  </si>
  <si>
    <t>Hebr</t>
  </si>
  <si>
    <t>Hebrew</t>
  </si>
  <si>
    <t>Deva</t>
  </si>
  <si>
    <t>Devanagari (Nagari)</t>
  </si>
  <si>
    <t>Armn</t>
  </si>
  <si>
    <t>Armenian</t>
  </si>
  <si>
    <t>Yiii</t>
  </si>
  <si>
    <t>Yi</t>
  </si>
  <si>
    <t>Jpan</t>
  </si>
  <si>
    <t>Japanese (alias for Han + Hiragana + Katakana)</t>
  </si>
  <si>
    <t>Geor</t>
  </si>
  <si>
    <t>Georgian (Mkhedruli)</t>
  </si>
  <si>
    <t>Khmr</t>
  </si>
  <si>
    <t>Khmer</t>
  </si>
  <si>
    <t>Knda</t>
  </si>
  <si>
    <t>Kannada</t>
  </si>
  <si>
    <t>Hang</t>
  </si>
  <si>
    <t>Hangul (Hang_l, Hangeul)</t>
  </si>
  <si>
    <t>Laoo</t>
  </si>
  <si>
    <t>Lao</t>
  </si>
  <si>
    <t>Mlym</t>
  </si>
  <si>
    <t>Malayalam</t>
  </si>
  <si>
    <t>Mymr</t>
  </si>
  <si>
    <t>Myanmar (Burmese)</t>
  </si>
  <si>
    <t>Orya</t>
  </si>
  <si>
    <t>Oriya</t>
  </si>
  <si>
    <t>Guru</t>
  </si>
  <si>
    <t>Gurmukhi</t>
  </si>
  <si>
    <t>Sinh</t>
  </si>
  <si>
    <t>Sinhala</t>
  </si>
  <si>
    <t>Taml</t>
  </si>
  <si>
    <t>Tamil</t>
  </si>
  <si>
    <t>Telu</t>
  </si>
  <si>
    <t>Telugu</t>
  </si>
  <si>
    <t>Thai</t>
  </si>
  <si>
    <t>Hans</t>
  </si>
  <si>
    <t>Han (Simplified variant)</t>
  </si>
  <si>
    <t>living</t>
  </si>
  <si>
    <t>A language that is still being used and spoken by people.</t>
  </si>
  <si>
    <t>ancient</t>
  </si>
  <si>
    <t>Any language originating in times that may be referred to as ancient.</t>
  </si>
  <si>
    <t>constructed</t>
  </si>
  <si>
    <t>A language whose phonology, grammar, and vocabulary, instead of having developed naturally, are consciously devised for some purpose, which may include being devised for a work of fiction.</t>
  </si>
  <si>
    <t>extinct</t>
  </si>
  <si>
    <t>A language that no longer is the first language or the second language of anyone.</t>
  </si>
  <si>
    <t>historical</t>
  </si>
  <si>
    <t>Languages that were spoken in a historical period, but that are distinct from their modern form</t>
  </si>
  <si>
    <t>These language codes should generally be canonical language tags as defined by BCP 47.</t>
  </si>
  <si>
    <t>iso_639_1</t>
  </si>
  <si>
    <t>iso_639_2</t>
  </si>
  <si>
    <t>iso_639_3</t>
  </si>
  <si>
    <t>aname</t>
  </si>
  <si>
    <t>uname</t>
  </si>
  <si>
    <t>flag</t>
  </si>
  <si>
    <t>aa</t>
  </si>
  <si>
    <t>aar</t>
  </si>
  <si>
    <t>Afar</t>
  </si>
  <si>
    <t>Afaraf</t>
  </si>
  <si>
    <t>https://raw.githubusercontent.com/dyonmulya/resources/refs/heads/main/assets/images/b2d3a12dc55a7ed8714197cb3de15e03.svg</t>
  </si>
  <si>
    <t>ab</t>
  </si>
  <si>
    <t>abk</t>
  </si>
  <si>
    <t>Abkhazian</t>
  </si>
  <si>
    <t>Аԥсуа бызшәа</t>
  </si>
  <si>
    <t>https://raw.githubusercontent.com/dyonmulya/resources/refs/heads/main/assets/images/1999fcc40084fd7ec220ed474a05f831.svg</t>
  </si>
  <si>
    <t>ae</t>
  </si>
  <si>
    <t>ave</t>
  </si>
  <si>
    <t>Avestan</t>
  </si>
  <si>
    <t>avesta</t>
  </si>
  <si>
    <t>https://raw.githubusercontent.com/dyonmulya/resources/refs/heads/main/assets/images/1c30626fbed238af50de75095434d7af.svg</t>
  </si>
  <si>
    <t>af</t>
  </si>
  <si>
    <t>afr</t>
  </si>
  <si>
    <t>Afrikaans</t>
  </si>
  <si>
    <t>https://raw.githubusercontent.com/dyonmulya/resources/refs/heads/main/assets/images/b83474968d560ae0f443105470df5e36.svg</t>
  </si>
  <si>
    <t>ak</t>
  </si>
  <si>
    <t>aka</t>
  </si>
  <si>
    <t>Akan</t>
  </si>
  <si>
    <t>https://raw.githubusercontent.com/dyonmulya/resources/refs/heads/main/assets/images/01ecc1e8d644e31d9fc33552ee7f449c.svg</t>
  </si>
  <si>
    <t>am</t>
  </si>
  <si>
    <t>amh</t>
  </si>
  <si>
    <t>Amharic</t>
  </si>
  <si>
    <t>አማርኛ</t>
  </si>
  <si>
    <t>https://raw.githubusercontent.com/dyonmulya/resources/refs/heads/main/assets/images/6f4fda0d1e8f4ba04e6619d26acba6eb.svg</t>
  </si>
  <si>
    <t>an</t>
  </si>
  <si>
    <t>arg</t>
  </si>
  <si>
    <t>Aragonese</t>
  </si>
  <si>
    <t>aragons</t>
  </si>
  <si>
    <t>https://raw.githubusercontent.com/dyonmulya/resources/refs/heads/main/assets/images/1607580d66a151a4b9edb5301fe778fb.svg</t>
  </si>
  <si>
    <t>ar</t>
  </si>
  <si>
    <t>ara</t>
  </si>
  <si>
    <t>العربية</t>
  </si>
  <si>
    <t>https://raw.githubusercontent.com/dyonmulya/resources/refs/heads/main/assets/images/a140c5e5af3e9fc696366588536b424e.svg</t>
  </si>
  <si>
    <t>as</t>
  </si>
  <si>
    <t>asm</t>
  </si>
  <si>
    <t>Assamese</t>
  </si>
  <si>
    <t>অসমীয়া</t>
  </si>
  <si>
    <t>https://raw.githubusercontent.com/dyonmulya/resources/refs/heads/main/assets/images/4e39a2bfe2c716c9453d5a7aee9b7dac.svg</t>
  </si>
  <si>
    <t>av</t>
  </si>
  <si>
    <t>ava</t>
  </si>
  <si>
    <t>Avaric</t>
  </si>
  <si>
    <t>авар мацӀ</t>
  </si>
  <si>
    <t>https://raw.githubusercontent.com/dyonmulya/resources/refs/heads/main/assets/images/f47b3c715590ca86667c549087d3658e.svg</t>
  </si>
  <si>
    <t>ay</t>
  </si>
  <si>
    <t>Aymara</t>
  </si>
  <si>
    <t>aymar aru</t>
  </si>
  <si>
    <t>https://raw.githubusercontent.com/dyonmulya/resources/refs/heads/main/assets/images/75da65326764ad91e67c80d4c02fd705.svg</t>
  </si>
  <si>
    <t>az</t>
  </si>
  <si>
    <t>aze</t>
  </si>
  <si>
    <t>Azerbaijani</t>
  </si>
  <si>
    <t>azərbaycanca</t>
  </si>
  <si>
    <t>https://raw.githubusercontent.com/dyonmulya/resources/refs/heads/main/assets/images/e13cf2c8784638a1ff1b44127a11c88d.svg</t>
  </si>
  <si>
    <t>ba</t>
  </si>
  <si>
    <t>bak</t>
  </si>
  <si>
    <t>Bashkir</t>
  </si>
  <si>
    <t>башҡорт теле</t>
  </si>
  <si>
    <t>https://raw.githubusercontent.com/dyonmulya/resources/refs/heads/main/assets/images/55c66dfc3ef5e46fbf1020ac75ababf6.svg</t>
  </si>
  <si>
    <t>be</t>
  </si>
  <si>
    <t>bel</t>
  </si>
  <si>
    <t>Belarusian</t>
  </si>
  <si>
    <t>беларуская</t>
  </si>
  <si>
    <t>https://raw.githubusercontent.com/dyonmulya/resources/refs/heads/main/assets/images/f2acc981a5e03b08a12c395a43a67194.svg</t>
  </si>
  <si>
    <t>bg</t>
  </si>
  <si>
    <t>bul</t>
  </si>
  <si>
    <t>Bulgarian</t>
  </si>
  <si>
    <t>български</t>
  </si>
  <si>
    <t>https://raw.githubusercontent.com/dyonmulya/resources/refs/heads/main/assets/images/971dc0a0b8d6bbfcd57014d9396dc13d.svg</t>
  </si>
  <si>
    <t>bi</t>
  </si>
  <si>
    <t>bis</t>
  </si>
  <si>
    <t>Bislama</t>
  </si>
  <si>
    <t>https://raw.githubusercontent.com/dyonmulya/resources/refs/heads/main/assets/images/2962d376b7631069c57f6adea15f0ca9.svg</t>
  </si>
  <si>
    <t>bm</t>
  </si>
  <si>
    <t>bam</t>
  </si>
  <si>
    <t>Bambara</t>
  </si>
  <si>
    <t>bamanankan</t>
  </si>
  <si>
    <t>https://raw.githubusercontent.com/dyonmulya/resources/refs/heads/main/assets/images/3a2788de37bf4efb90a4751f01255efb.svg</t>
  </si>
  <si>
    <t>bn</t>
  </si>
  <si>
    <t>ben</t>
  </si>
  <si>
    <t>Bangla</t>
  </si>
  <si>
    <t>বাংলা</t>
  </si>
  <si>
    <t>https://raw.githubusercontent.com/dyonmulya/resources/refs/heads/main/assets/images/c7eab98d8d1e9a13348f4df40809cd2a.svg</t>
  </si>
  <si>
    <t>bo</t>
  </si>
  <si>
    <t>bod</t>
  </si>
  <si>
    <t>པོད་སྐད་</t>
  </si>
  <si>
    <t>https://raw.githubusercontent.com/dyonmulya/resources/refs/heads/main/assets/images/8055e4976b296bcef6591b7aa38873dc.svg</t>
  </si>
  <si>
    <t>br</t>
  </si>
  <si>
    <t>bre</t>
  </si>
  <si>
    <t>Breton</t>
  </si>
  <si>
    <t>brezhoneg</t>
  </si>
  <si>
    <t>https://raw.githubusercontent.com/dyonmulya/resources/refs/heads/main/assets/images/4c3ace878f8013a7ba6ee677018120fc.svg</t>
  </si>
  <si>
    <t>bs</t>
  </si>
  <si>
    <t>bos</t>
  </si>
  <si>
    <t>Bosnian</t>
  </si>
  <si>
    <t>bosanski</t>
  </si>
  <si>
    <t>https://raw.githubusercontent.com/dyonmulya/resources/refs/heads/main/assets/images/f91e2d7da6b43be6fe77e8306ea2aab6.svg</t>
  </si>
  <si>
    <t>ca</t>
  </si>
  <si>
    <t>cat</t>
  </si>
  <si>
    <t>Catalan</t>
  </si>
  <si>
    <t>català</t>
  </si>
  <si>
    <t>https://raw.githubusercontent.com/dyonmulya/resources/refs/heads/main/assets/images/3d3c678e041add04e84d24854734110d.svg</t>
  </si>
  <si>
    <t>ce</t>
  </si>
  <si>
    <t>che</t>
  </si>
  <si>
    <t>Chechen</t>
  </si>
  <si>
    <t>нохчийн мотт</t>
  </si>
  <si>
    <t>https://raw.githubusercontent.com/dyonmulya/resources/refs/heads/main/assets/images/e966a53fa47da0c3c90e245f3c6704ab.svg</t>
  </si>
  <si>
    <t>ch</t>
  </si>
  <si>
    <t>cha</t>
  </si>
  <si>
    <t>Chamorro</t>
  </si>
  <si>
    <t>Chamoru</t>
  </si>
  <si>
    <t>https://raw.githubusercontent.com/dyonmulya/resources/refs/heads/main/assets/images/1f3b40feeb36bdb0e7abb94e90f5e348.svg</t>
  </si>
  <si>
    <t>co</t>
  </si>
  <si>
    <t>cos</t>
  </si>
  <si>
    <t>Corsican</t>
  </si>
  <si>
    <t>corsu, lingua corsa</t>
  </si>
  <si>
    <t>https://raw.githubusercontent.com/dyonmulya/resources/refs/heads/main/assets/images/0d1cda06672808f3b06990f9e87f3ed9.svg</t>
  </si>
  <si>
    <t>cr</t>
  </si>
  <si>
    <t>cre</t>
  </si>
  <si>
    <t>Cree</t>
  </si>
  <si>
    <t>ᓀᐦᐃᔭᐍᐏᐣ</t>
  </si>
  <si>
    <t>https://raw.githubusercontent.com/dyonmulya/resources/refs/heads/main/assets/images/04704a1907094b6e2860b00bcace7b8e.svg</t>
  </si>
  <si>
    <t>cs</t>
  </si>
  <si>
    <t>ces</t>
  </si>
  <si>
    <t>Czech</t>
  </si>
  <si>
    <t>čeština</t>
  </si>
  <si>
    <t>https://raw.githubusercontent.com/dyonmulya/resources/refs/heads/main/assets/images/a2c21ad6ed68ea984ea8d1589c57f8e9.svg</t>
  </si>
  <si>
    <t>cu</t>
  </si>
  <si>
    <t>chu</t>
  </si>
  <si>
    <t>Church Slavic</t>
  </si>
  <si>
    <t>ѩзыкъ словѣньскъ</t>
  </si>
  <si>
    <t>https://raw.githubusercontent.com/dyonmulya/resources/refs/heads/main/assets/images/95599abe77ed565866667dcdd78a3bb7.svg</t>
  </si>
  <si>
    <t>cv</t>
  </si>
  <si>
    <t>chv</t>
  </si>
  <si>
    <t>Chuvash</t>
  </si>
  <si>
    <t>чӑваш чӗлхи</t>
  </si>
  <si>
    <t>https://raw.githubusercontent.com/dyonmulya/resources/refs/heads/main/assets/images/5367fff063561dfa0e454bbedce064b4.svg</t>
  </si>
  <si>
    <t>cy</t>
  </si>
  <si>
    <t>cym</t>
  </si>
  <si>
    <t>Welsh</t>
  </si>
  <si>
    <t>Cymraeg</t>
  </si>
  <si>
    <t>https://raw.githubusercontent.com/dyonmulya/resources/refs/heads/main/assets/images/22c789d018c6280edd7798f83ec978b1.svg</t>
  </si>
  <si>
    <t>da</t>
  </si>
  <si>
    <t>dan</t>
  </si>
  <si>
    <t>Danish</t>
  </si>
  <si>
    <t>dansk</t>
  </si>
  <si>
    <t>https://raw.githubusercontent.com/dyonmulya/resources/refs/heads/main/assets/images/de46addfc07857ceb3d2eae6567fadd2.svg</t>
  </si>
  <si>
    <t>de</t>
  </si>
  <si>
    <t>deu</t>
  </si>
  <si>
    <t>German</t>
  </si>
  <si>
    <t>Deutsch</t>
  </si>
  <si>
    <t>https://raw.githubusercontent.com/dyonmulya/resources/refs/heads/main/assets/images/2663ee4a5910cb5eb2aa0ba8436e5dd6.svg</t>
  </si>
  <si>
    <t>dv</t>
  </si>
  <si>
    <t>div</t>
  </si>
  <si>
    <t>Divehi</t>
  </si>
  <si>
    <t>ދިވެހި</t>
  </si>
  <si>
    <t>https://raw.githubusercontent.com/dyonmulya/resources/refs/heads/main/assets/images/34b6f72882c3c80ced3c9f85289e6f3f.svg</t>
  </si>
  <si>
    <t>dz</t>
  </si>
  <si>
    <t>dzo</t>
  </si>
  <si>
    <t>Dzongkha</t>
  </si>
  <si>
    <t>རྫོང་ཁ</t>
  </si>
  <si>
    <t>https://raw.githubusercontent.com/dyonmulya/resources/refs/heads/main/assets/images/19b9f8fc0362e684410723c0439bb602.svg</t>
  </si>
  <si>
    <t>ee</t>
  </si>
  <si>
    <t>ewe</t>
  </si>
  <si>
    <t>Ewe</t>
  </si>
  <si>
    <t>Eʋegbe</t>
  </si>
  <si>
    <t>https://raw.githubusercontent.com/dyonmulya/resources/refs/heads/main/assets/images/3f820167903e3e00613a705d9a537932.svg</t>
  </si>
  <si>
    <t>el</t>
  </si>
  <si>
    <t>ell</t>
  </si>
  <si>
    <t>ελληνικά</t>
  </si>
  <si>
    <t>https://raw.githubusercontent.com/dyonmulya/resources/refs/heads/main/assets/images/449eaa2e6dd8539163ddb8ffcb7ca412.svg</t>
  </si>
  <si>
    <t>en</t>
  </si>
  <si>
    <t>eng</t>
  </si>
  <si>
    <t>English</t>
  </si>
  <si>
    <t>https://raw.githubusercontent.com/dyonmulya/resources/refs/heads/main/assets/images/df68b23c307f6e95b7fadbd309def5bd.svg</t>
  </si>
  <si>
    <t>eo</t>
  </si>
  <si>
    <t>epo</t>
  </si>
  <si>
    <t>Esperanto</t>
  </si>
  <si>
    <t>https://raw.githubusercontent.com/dyonmulya/resources/refs/heads/main/assets/images/729b0dd25bdbf98358a63a3a3a7dd7cd.svg</t>
  </si>
  <si>
    <t>es</t>
  </si>
  <si>
    <t>spa</t>
  </si>
  <si>
    <t>Spanish</t>
  </si>
  <si>
    <t>español</t>
  </si>
  <si>
    <t>https://raw.githubusercontent.com/dyonmulya/resources/refs/heads/main/assets/images/1ce6fa7fde115d5a77b5d0313e5a3fd8.svg</t>
  </si>
  <si>
    <t>et</t>
  </si>
  <si>
    <t>est</t>
  </si>
  <si>
    <t>Estonian</t>
  </si>
  <si>
    <t>eesti</t>
  </si>
  <si>
    <t>https://raw.githubusercontent.com/dyonmulya/resources/refs/heads/main/assets/images/4443d9ec51b1e865285eebcf472c9819.svg</t>
  </si>
  <si>
    <t>eu</t>
  </si>
  <si>
    <t>eus</t>
  </si>
  <si>
    <t>Basque</t>
  </si>
  <si>
    <t>Euskara</t>
  </si>
  <si>
    <t>https://raw.githubusercontent.com/dyonmulya/resources/refs/heads/main/assets/images/bd501c88a39e65dfa1ff1916ac95094e.svg</t>
  </si>
  <si>
    <t>fa</t>
  </si>
  <si>
    <t>fas</t>
  </si>
  <si>
    <t>Persian</t>
  </si>
  <si>
    <t>فارسی</t>
  </si>
  <si>
    <t>https://raw.githubusercontent.com/dyonmulya/resources/refs/heads/main/assets/images/76caafa763393f6fbb377a6ad4b5b518.svg</t>
  </si>
  <si>
    <t>ff</t>
  </si>
  <si>
    <t>ful</t>
  </si>
  <si>
    <t>Fula</t>
  </si>
  <si>
    <t>Pulaar</t>
  </si>
  <si>
    <t>https://raw.githubusercontent.com/dyonmulya/resources/refs/heads/main/assets/images/90c987c9702b891ec2a9fdff612224a7.svg</t>
  </si>
  <si>
    <t>fi</t>
  </si>
  <si>
    <t>fin</t>
  </si>
  <si>
    <t>Finnish</t>
  </si>
  <si>
    <t>suomi</t>
  </si>
  <si>
    <t>https://raw.githubusercontent.com/dyonmulya/resources/refs/heads/main/assets/images/901e8502326c1fe9b64ad9637856bc02.svg</t>
  </si>
  <si>
    <t>fj</t>
  </si>
  <si>
    <t>fij</t>
  </si>
  <si>
    <t>Fijian</t>
  </si>
  <si>
    <t>vosa Vakaviti</t>
  </si>
  <si>
    <t>https://raw.githubusercontent.com/dyonmulya/resources/refs/heads/main/assets/images/69bd841f0b39e140ef3cc8e0c023225d.svg</t>
  </si>
  <si>
    <t>fo</t>
  </si>
  <si>
    <t>fao</t>
  </si>
  <si>
    <t>Faroese</t>
  </si>
  <si>
    <t>føroyskt</t>
  </si>
  <si>
    <t>https://raw.githubusercontent.com/dyonmulya/resources/refs/heads/main/assets/images/a43b67f0826bc3cadfe12810e88c2de1.svg</t>
  </si>
  <si>
    <t>fr</t>
  </si>
  <si>
    <t>fra</t>
  </si>
  <si>
    <t>French</t>
  </si>
  <si>
    <t>Français</t>
  </si>
  <si>
    <t>https://raw.githubusercontent.com/dyonmulya/resources/refs/heads/main/assets/images/b5d3151b6a19a6909fceedc073d7bab1.svg</t>
  </si>
  <si>
    <t>fy</t>
  </si>
  <si>
    <t>fry</t>
  </si>
  <si>
    <t>Western Frisian</t>
  </si>
  <si>
    <t>Frysk</t>
  </si>
  <si>
    <t>https://raw.githubusercontent.com/dyonmulya/resources/refs/heads/main/assets/images/5a96e3321fdbb839cd68668d65e7adb9.svg</t>
  </si>
  <si>
    <t>ga</t>
  </si>
  <si>
    <t>gle</t>
  </si>
  <si>
    <t>Irish</t>
  </si>
  <si>
    <t>Gaeilge</t>
  </si>
  <si>
    <t>https://raw.githubusercontent.com/dyonmulya/resources/refs/heads/main/assets/images/09bad5a4ae1b077a680f4857e03a1dbc.svg</t>
  </si>
  <si>
    <t>gd</t>
  </si>
  <si>
    <t>gla</t>
  </si>
  <si>
    <t>Scottish Gaelic</t>
  </si>
  <si>
    <t>Gàidhlig</t>
  </si>
  <si>
    <t>https://raw.githubusercontent.com/dyonmulya/resources/refs/heads/main/assets/images/872b7b96bad1893e06fb90898f73d100.svg</t>
  </si>
  <si>
    <t>gl</t>
  </si>
  <si>
    <t>glg</t>
  </si>
  <si>
    <t>Galician</t>
  </si>
  <si>
    <t>galego</t>
  </si>
  <si>
    <t>https://raw.githubusercontent.com/dyonmulya/resources/refs/heads/main/assets/images/9b610e1cd4c0bf240da8ecdb34fc67a8.svg</t>
  </si>
  <si>
    <t>gn</t>
  </si>
  <si>
    <t>grn</t>
  </si>
  <si>
    <t>Guarani</t>
  </si>
  <si>
    <t>Avañe'ẽ</t>
  </si>
  <si>
    <t>https://raw.githubusercontent.com/dyonmulya/resources/refs/heads/main/assets/images/fdc5fec416d54feda31052754bcc7a0f.svg</t>
  </si>
  <si>
    <t>gu</t>
  </si>
  <si>
    <t>guj</t>
  </si>
  <si>
    <t>ગુજરાતી</t>
  </si>
  <si>
    <t>https://raw.githubusercontent.com/dyonmulya/resources/refs/heads/main/assets/images/d15b26e9c72a1612b71c25e3e1d7757f.svg</t>
  </si>
  <si>
    <t>gv</t>
  </si>
  <si>
    <t>glv</t>
  </si>
  <si>
    <t>Manx</t>
  </si>
  <si>
    <t>Gaelg</t>
  </si>
  <si>
    <t>https://raw.githubusercontent.com/dyonmulya/resources/refs/heads/main/assets/images/dbf9cf76561a339c8638bb90300392e7.svg</t>
  </si>
  <si>
    <t>ha</t>
  </si>
  <si>
    <t>hau</t>
  </si>
  <si>
    <t>Hausa</t>
  </si>
  <si>
    <t>https://raw.githubusercontent.com/dyonmulya/resources/refs/heads/main/assets/images/27bfe2c7a60cdb64e49b6f544adb65db.svg</t>
  </si>
  <si>
    <t>he</t>
  </si>
  <si>
    <t>heb</t>
  </si>
  <si>
    <t>עברית</t>
  </si>
  <si>
    <t>https://raw.githubusercontent.com/dyonmulya/resources/refs/heads/main/assets/images/5807015abe873f5baaae147243d6d006.svg</t>
  </si>
  <si>
    <t>hi</t>
  </si>
  <si>
    <t>hin</t>
  </si>
  <si>
    <t>Hindi</t>
  </si>
  <si>
    <t>हिन्दी</t>
  </si>
  <si>
    <t>https://raw.githubusercontent.com/dyonmulya/resources/refs/heads/main/assets/images/3c27f812a2516185808f7b00295afe0c.svg</t>
  </si>
  <si>
    <t>ho</t>
  </si>
  <si>
    <t>hmo</t>
  </si>
  <si>
    <t>Hiri Motu</t>
  </si>
  <si>
    <t>https://raw.githubusercontent.com/dyonmulya/resources/refs/heads/main/assets/images/a86103a1e22694ea36c9cd72d65ea5d2.svg</t>
  </si>
  <si>
    <t>hr</t>
  </si>
  <si>
    <t>hrv</t>
  </si>
  <si>
    <t>Croatian</t>
  </si>
  <si>
    <t>hrvatski</t>
  </si>
  <si>
    <t>https://raw.githubusercontent.com/dyonmulya/resources/refs/heads/main/assets/images/465b8343ac3b76d249b9b42b75ffdcd2.svg</t>
  </si>
  <si>
    <t>ht</t>
  </si>
  <si>
    <t>hat</t>
  </si>
  <si>
    <t>Haitian Creole</t>
  </si>
  <si>
    <t>Kreyl ayisyen</t>
  </si>
  <si>
    <t>https://raw.githubusercontent.com/dyonmulya/resources/refs/heads/main/assets/images/cebe86218dd7415c8598cb696fbe5e67.svg</t>
  </si>
  <si>
    <t>hu</t>
  </si>
  <si>
    <t>hun</t>
  </si>
  <si>
    <t>Hungarian</t>
  </si>
  <si>
    <t>magyar</t>
  </si>
  <si>
    <t>https://raw.githubusercontent.com/dyonmulya/resources/refs/heads/main/assets/images/8f8496fafe4912743278fed39658d8e3.svg</t>
  </si>
  <si>
    <t>hy</t>
  </si>
  <si>
    <t>hye</t>
  </si>
  <si>
    <t>Հայերէն</t>
  </si>
  <si>
    <t>https://raw.githubusercontent.com/dyonmulya/resources/refs/heads/main/assets/images/3290f0c7ea192b2a87d39e2c0dcc0e72.svg</t>
  </si>
  <si>
    <t>hz</t>
  </si>
  <si>
    <t>her</t>
  </si>
  <si>
    <t>Herero</t>
  </si>
  <si>
    <t>Otjiherero</t>
  </si>
  <si>
    <t>https://raw.githubusercontent.com/dyonmulya/resources/refs/heads/main/assets/images/380344aabc630e4d8984fb6a06f7492b.svg</t>
  </si>
  <si>
    <t>ia</t>
  </si>
  <si>
    <t>ina</t>
  </si>
  <si>
    <t>Interlingua</t>
  </si>
  <si>
    <t>https://raw.githubusercontent.com/dyonmulya/resources/refs/heads/main/assets/images/7e415e1218aa3c932b048f1df6d1a0cc.svg</t>
  </si>
  <si>
    <t>ind</t>
  </si>
  <si>
    <t>Indonesian</t>
  </si>
  <si>
    <t>Bahasa Indonesia</t>
  </si>
  <si>
    <t>https://raw.githubusercontent.com/dyonmulya/resources/refs/heads/main/assets/images/f299b3d7f982cf9cc793f9c2a84d179f.svg</t>
  </si>
  <si>
    <t>ie</t>
  </si>
  <si>
    <t>ile</t>
  </si>
  <si>
    <t>Interlingue</t>
  </si>
  <si>
    <t>https://raw.githubusercontent.com/dyonmulya/resources/refs/heads/main/assets/images/a5157c8cc4b2f059850e11620a3354e5.svg</t>
  </si>
  <si>
    <t>ig</t>
  </si>
  <si>
    <t>ibo</t>
  </si>
  <si>
    <t>Igbo</t>
  </si>
  <si>
    <t>https://raw.githubusercontent.com/dyonmulya/resources/refs/heads/main/assets/images/b5f4762b5c07f443c21f6587d37b9504.svg</t>
  </si>
  <si>
    <t>ii</t>
  </si>
  <si>
    <t>iii</t>
  </si>
  <si>
    <t>Sichuan Yi</t>
  </si>
  <si>
    <t>ꆈꌠꉙ</t>
  </si>
  <si>
    <t>https://raw.githubusercontent.com/dyonmulya/resources/refs/heads/main/assets/images/7c1d4cb9729518e9827598a29ac37f20.svg</t>
  </si>
  <si>
    <t>ik</t>
  </si>
  <si>
    <t>ipk</t>
  </si>
  <si>
    <t>Inupiaq</t>
  </si>
  <si>
    <t>Iñupiatun</t>
  </si>
  <si>
    <t>https://raw.githubusercontent.com/dyonmulya/resources/refs/heads/main/assets/images/4aed146ae59481c3885c55fcee43467b.svg</t>
  </si>
  <si>
    <t>io</t>
  </si>
  <si>
    <t>ido</t>
  </si>
  <si>
    <t>Ido</t>
  </si>
  <si>
    <t>https://raw.githubusercontent.com/dyonmulya/resources/refs/heads/main/assets/images/71e00fc76c87f207015a5c685b4107dd.svg</t>
  </si>
  <si>
    <t>is</t>
  </si>
  <si>
    <t>isl</t>
  </si>
  <si>
    <t>Icelandic</t>
  </si>
  <si>
    <t>íslenska</t>
  </si>
  <si>
    <t>https://raw.githubusercontent.com/dyonmulya/resources/refs/heads/main/assets/images/89953e07d01755d3f3c7b93bd90853dc.svg</t>
  </si>
  <si>
    <t>it</t>
  </si>
  <si>
    <t>ita</t>
  </si>
  <si>
    <t>Italian</t>
  </si>
  <si>
    <t>italiano</t>
  </si>
  <si>
    <t>https://raw.githubusercontent.com/dyonmulya/resources/refs/heads/main/assets/images/23731cd0573ed66ca6d7c9d02eb1240a.svg</t>
  </si>
  <si>
    <t>iu</t>
  </si>
  <si>
    <t>iku</t>
  </si>
  <si>
    <t>Inuktitut</t>
  </si>
  <si>
    <t>ᐃᓄᒃᑎᑐᑦ</t>
  </si>
  <si>
    <t>https://raw.githubusercontent.com/dyonmulya/resources/refs/heads/main/assets/images/60b5c7889221a11bf3255e2a36a348c1.svg</t>
  </si>
  <si>
    <t>ja</t>
  </si>
  <si>
    <t>jpn</t>
  </si>
  <si>
    <t>Japanese</t>
  </si>
  <si>
    <t>日本語</t>
  </si>
  <si>
    <t>https://raw.githubusercontent.com/dyonmulya/resources/refs/heads/main/assets/images/48edff865d3c156af42fadfdf22730f7.svg</t>
  </si>
  <si>
    <t>jv</t>
  </si>
  <si>
    <t>jav</t>
  </si>
  <si>
    <t>Javanese</t>
  </si>
  <si>
    <t>basa Jawa</t>
  </si>
  <si>
    <t>https://raw.githubusercontent.com/dyonmulya/resources/refs/heads/main/assets/images/49db771493d894b7c3b78b60ce800bc8.svg</t>
  </si>
  <si>
    <t>ka</t>
  </si>
  <si>
    <t>kat</t>
  </si>
  <si>
    <t>Georgian</t>
  </si>
  <si>
    <t>ქართული</t>
  </si>
  <si>
    <t>https://raw.githubusercontent.com/dyonmulya/resources/refs/heads/main/assets/images/e8b6b937353e72254dc49f76693c317f.svg</t>
  </si>
  <si>
    <t>kg</t>
  </si>
  <si>
    <t>kon</t>
  </si>
  <si>
    <t>Kongo</t>
  </si>
  <si>
    <t>Kikongo</t>
  </si>
  <si>
    <t>https://raw.githubusercontent.com/dyonmulya/resources/refs/heads/main/assets/images/870320b38c5e6cd384ebce41f97cfc32.svg</t>
  </si>
  <si>
    <t>ki</t>
  </si>
  <si>
    <t>kik</t>
  </si>
  <si>
    <t>Kikuyu</t>
  </si>
  <si>
    <t>Gĩkũyũ</t>
  </si>
  <si>
    <t>https://raw.githubusercontent.com/dyonmulya/resources/refs/heads/main/assets/images/f1e2bce9d2e0ba65b98cdaef6a02df7d.svg</t>
  </si>
  <si>
    <t>kj</t>
  </si>
  <si>
    <t>kua</t>
  </si>
  <si>
    <t>Kuanyama</t>
  </si>
  <si>
    <t>Oshikwanyama</t>
  </si>
  <si>
    <t>https://raw.githubusercontent.com/dyonmulya/resources/refs/heads/main/assets/images/6a398944eb4041e27b83ab89638a32e8.svg</t>
  </si>
  <si>
    <t>kk</t>
  </si>
  <si>
    <t>kaz</t>
  </si>
  <si>
    <t>Kazakh</t>
  </si>
  <si>
    <t>қазақ тілі</t>
  </si>
  <si>
    <t>https://raw.githubusercontent.com/dyonmulya/resources/refs/heads/main/assets/images/08ed7e9d978738d396288c06571ab2bc.svg</t>
  </si>
  <si>
    <t>kl</t>
  </si>
  <si>
    <t>kal</t>
  </si>
  <si>
    <t>Kalaallisut</t>
  </si>
  <si>
    <t>https://raw.githubusercontent.com/dyonmulya/resources/refs/heads/main/assets/images/188463fae13800001f61df757443df5d.svg</t>
  </si>
  <si>
    <t>km</t>
  </si>
  <si>
    <t>khm</t>
  </si>
  <si>
    <t>ភាសាខ្មែរ</t>
  </si>
  <si>
    <t>https://raw.githubusercontent.com/dyonmulya/resources/refs/heads/main/assets/images/1ab32b2be344cc246f7119427660812b.svg</t>
  </si>
  <si>
    <t>kn</t>
  </si>
  <si>
    <t>kan</t>
  </si>
  <si>
    <t>ಕನ್ನಡ</t>
  </si>
  <si>
    <t>https://raw.githubusercontent.com/dyonmulya/resources/refs/heads/main/assets/images/24f501134613d6b2196e725131b161a4.svg</t>
  </si>
  <si>
    <t>ko</t>
  </si>
  <si>
    <t>Korean</t>
  </si>
  <si>
    <t>한국어</t>
  </si>
  <si>
    <t>https://raw.githubusercontent.com/dyonmulya/resources/refs/heads/main/assets/images/73fb230c3602c0486bc3366272d532a9.svg</t>
  </si>
  <si>
    <t>kr</t>
  </si>
  <si>
    <t>kau</t>
  </si>
  <si>
    <t>Kanuri</t>
  </si>
  <si>
    <t>https://raw.githubusercontent.com/dyonmulya/resources/refs/heads/main/assets/images/12610f811d9cb0222d57ccdc9a5e6e4c.svg</t>
  </si>
  <si>
    <t>ks</t>
  </si>
  <si>
    <t>kas</t>
  </si>
  <si>
    <t>Kashmiri</t>
  </si>
  <si>
    <t>कश्मीरी</t>
  </si>
  <si>
    <t>https://raw.githubusercontent.com/dyonmulya/resources/refs/heads/main/assets/images/3f4d01d54a034b3903ed4d09c4b73f8c.svg</t>
  </si>
  <si>
    <t>ku</t>
  </si>
  <si>
    <t>kur</t>
  </si>
  <si>
    <t>Kurdish</t>
  </si>
  <si>
    <t>Kurdî</t>
  </si>
  <si>
    <t>https://raw.githubusercontent.com/dyonmulya/resources/refs/heads/main/assets/images/be3bbfc2677080ae9597ec72495c44dd.svg</t>
  </si>
  <si>
    <t>kv</t>
  </si>
  <si>
    <t>kom</t>
  </si>
  <si>
    <t>Komi</t>
  </si>
  <si>
    <t>коми кыв</t>
  </si>
  <si>
    <t>https://raw.githubusercontent.com/dyonmulya/resources/refs/heads/main/assets/images/ae3015ae141f578523e30af685f86276.svg</t>
  </si>
  <si>
    <t>kw</t>
  </si>
  <si>
    <t>cor</t>
  </si>
  <si>
    <t>Cornish</t>
  </si>
  <si>
    <t>Kernewek</t>
  </si>
  <si>
    <t>https://raw.githubusercontent.com/dyonmulya/resources/refs/heads/main/assets/images/47853645b3ef3af741d55fe22b694542.svg</t>
  </si>
  <si>
    <t>ky</t>
  </si>
  <si>
    <t>kir</t>
  </si>
  <si>
    <t>Kyrgyz</t>
  </si>
  <si>
    <t>Кыргызча</t>
  </si>
  <si>
    <t>https://raw.githubusercontent.com/dyonmulya/resources/refs/heads/main/assets/images/3941de021acd895cc4143684d61bdf1c.svg</t>
  </si>
  <si>
    <t>la</t>
  </si>
  <si>
    <t>lat</t>
  </si>
  <si>
    <t>Latīna</t>
  </si>
  <si>
    <t>https://raw.githubusercontent.com/dyonmulya/resources/refs/heads/main/assets/images/3e958e60402d914532a1398f5d45823f.svg</t>
  </si>
  <si>
    <t>lb</t>
  </si>
  <si>
    <t>ltz</t>
  </si>
  <si>
    <t>Luxembourgish</t>
  </si>
  <si>
    <t>Lëtzebuergesch</t>
  </si>
  <si>
    <t>https://raw.githubusercontent.com/dyonmulya/resources/refs/heads/main/assets/images/21e8dfad4adc2e1350d928dc37a3463a.svg</t>
  </si>
  <si>
    <t>lg</t>
  </si>
  <si>
    <t>lug</t>
  </si>
  <si>
    <t>Ganda</t>
  </si>
  <si>
    <t>Luganda</t>
  </si>
  <si>
    <t>https://raw.githubusercontent.com/dyonmulya/resources/refs/heads/main/assets/images/8a3e05dd5a284a7fefd54439b2fca365.svg</t>
  </si>
  <si>
    <t>li</t>
  </si>
  <si>
    <t>lim</t>
  </si>
  <si>
    <t>Limburgish</t>
  </si>
  <si>
    <t>Lèmbörgs</t>
  </si>
  <si>
    <t>https://raw.githubusercontent.com/dyonmulya/resources/refs/heads/main/assets/images/4114d14afc1bc42787dcb455c1d3628e.svg</t>
  </si>
  <si>
    <t>ln</t>
  </si>
  <si>
    <t>lin</t>
  </si>
  <si>
    <t>Lingala</t>
  </si>
  <si>
    <t>lingála</t>
  </si>
  <si>
    <t>https://raw.githubusercontent.com/dyonmulya/resources/refs/heads/main/assets/images/5a8e7f2598bce96b60db34350c8da52e.svg</t>
  </si>
  <si>
    <t>lo</t>
  </si>
  <si>
    <t>lao</t>
  </si>
  <si>
    <t>ພາສາລາວ</t>
  </si>
  <si>
    <t>https://raw.githubusercontent.com/dyonmulya/resources/refs/heads/main/assets/images/d558064c1c3dc8812f18d5904ab27e8a.svg</t>
  </si>
  <si>
    <t>lt</t>
  </si>
  <si>
    <t>lit</t>
  </si>
  <si>
    <t>Lithuanian</t>
  </si>
  <si>
    <t>lietuvių</t>
  </si>
  <si>
    <t>https://raw.githubusercontent.com/dyonmulya/resources/refs/heads/main/assets/images/eb98618f59918bf714ea5b70692c515d.svg</t>
  </si>
  <si>
    <t>lu</t>
  </si>
  <si>
    <t>lub</t>
  </si>
  <si>
    <t>Luba-Katanga</t>
  </si>
  <si>
    <t>Tshiluba</t>
  </si>
  <si>
    <t>https://raw.githubusercontent.com/dyonmulya/resources/refs/heads/main/assets/images/ff3685c67c8d6573d4e9927d6ec9c185.svg</t>
  </si>
  <si>
    <t>lv</t>
  </si>
  <si>
    <t>lav</t>
  </si>
  <si>
    <t>Latvian</t>
  </si>
  <si>
    <t>latviešu</t>
  </si>
  <si>
    <t>https://raw.githubusercontent.com/dyonmulya/resources/refs/heads/main/assets/images/077e7bb20f8d004cf21c5b58008d1753.svg</t>
  </si>
  <si>
    <t>mg</t>
  </si>
  <si>
    <t>mlg</t>
  </si>
  <si>
    <t>Malagasy</t>
  </si>
  <si>
    <t>https://raw.githubusercontent.com/dyonmulya/resources/refs/heads/main/assets/images/7bcbe2ed674e42643fe4cfd8a9220655.svg</t>
  </si>
  <si>
    <t>mh</t>
  </si>
  <si>
    <t>mah</t>
  </si>
  <si>
    <t>Marshallese</t>
  </si>
  <si>
    <t>Kajin M̧ajeļ</t>
  </si>
  <si>
    <t>https://raw.githubusercontent.com/dyonmulya/resources/refs/heads/main/assets/images/699d89ea11bf6271fcc1a2126269f0e9.svg</t>
  </si>
  <si>
    <t>mi</t>
  </si>
  <si>
    <t>mri</t>
  </si>
  <si>
    <t>Māori</t>
  </si>
  <si>
    <t>te reo Māori</t>
  </si>
  <si>
    <t>https://raw.githubusercontent.com/dyonmulya/resources/refs/heads/main/assets/images/8042355d61bc7752d44af952b3276d6e.svg</t>
  </si>
  <si>
    <t>mk</t>
  </si>
  <si>
    <t>mkd</t>
  </si>
  <si>
    <t>Macedonian</t>
  </si>
  <si>
    <t>македонски</t>
  </si>
  <si>
    <t>https://raw.githubusercontent.com/dyonmulya/resources/refs/heads/main/assets/images/c938aa7ccfa8484d1898ab61147614dd.svg</t>
  </si>
  <si>
    <t>ml</t>
  </si>
  <si>
    <t>mal</t>
  </si>
  <si>
    <t>മലയാളം</t>
  </si>
  <si>
    <t>https://raw.githubusercontent.com/dyonmulya/resources/refs/heads/main/assets/images/a05e76c9f76d18201c231101ee1d2aaf.svg</t>
  </si>
  <si>
    <t>mn</t>
  </si>
  <si>
    <t>mon</t>
  </si>
  <si>
    <t>Mongolian</t>
  </si>
  <si>
    <t>монгол</t>
  </si>
  <si>
    <t>https://raw.githubusercontent.com/dyonmulya/resources/refs/heads/main/assets/images/66518dfd3db4f5f24e403d81bcaff2d1.svg</t>
  </si>
  <si>
    <t>mr</t>
  </si>
  <si>
    <t>mar</t>
  </si>
  <si>
    <t>Marathi</t>
  </si>
  <si>
    <t>मराठी</t>
  </si>
  <si>
    <t>https://raw.githubusercontent.com/dyonmulya/resources/refs/heads/main/assets/images/7300a625bec4f65ed4493e4b41bf24a9.svg</t>
  </si>
  <si>
    <t>ms</t>
  </si>
  <si>
    <t>msa</t>
  </si>
  <si>
    <t>Malay</t>
  </si>
  <si>
    <t>bahasa Melayu</t>
  </si>
  <si>
    <t>https://raw.githubusercontent.com/dyonmulya/resources/refs/heads/main/assets/images/d3536e6a45f8d28331446eb60cf7c75e.svg</t>
  </si>
  <si>
    <t>mt</t>
  </si>
  <si>
    <t>mlt</t>
  </si>
  <si>
    <t>Maltese</t>
  </si>
  <si>
    <t>Malti</t>
  </si>
  <si>
    <t>https://raw.githubusercontent.com/dyonmulya/resources/refs/heads/main/assets/images/30f8fb749b44ae6b4c5c21d8cee61950.svg</t>
  </si>
  <si>
    <t>my</t>
  </si>
  <si>
    <t>mya</t>
  </si>
  <si>
    <t>Burmese</t>
  </si>
  <si>
    <t>ဗမာ</t>
  </si>
  <si>
    <t>https://raw.githubusercontent.com/dyonmulya/resources/refs/heads/main/assets/images/9d1273f1bb5d5985e9a51637ea1bf44b.svg</t>
  </si>
  <si>
    <t>na</t>
  </si>
  <si>
    <t>nau</t>
  </si>
  <si>
    <t>Nauru</t>
  </si>
  <si>
    <t>Ekakairũ Naoero</t>
  </si>
  <si>
    <t>https://raw.githubusercontent.com/dyonmulya/resources/refs/heads/main/assets/images/517a9f7be4208eabf10511cce487fdc6.svg</t>
  </si>
  <si>
    <t>nb</t>
  </si>
  <si>
    <t>nob</t>
  </si>
  <si>
    <t>Norwegian Bokmål</t>
  </si>
  <si>
    <t>norsk bokmål</t>
  </si>
  <si>
    <t>https://raw.githubusercontent.com/dyonmulya/resources/refs/heads/main/assets/images/af0e0580afdf4888dc2f66649a617eda.svg</t>
  </si>
  <si>
    <t>nd</t>
  </si>
  <si>
    <t>nde</t>
  </si>
  <si>
    <t>North Ndebele</t>
  </si>
  <si>
    <t>isiNdebele</t>
  </si>
  <si>
    <t>https://raw.githubusercontent.com/dyonmulya/resources/refs/heads/main/assets/images/c4f38c0b0bfa9afa2a492eaea5d0ad3d.svg</t>
  </si>
  <si>
    <t>ne</t>
  </si>
  <si>
    <t>nep</t>
  </si>
  <si>
    <t>Nepali</t>
  </si>
  <si>
    <t>नेपाली</t>
  </si>
  <si>
    <t>https://raw.githubusercontent.com/dyonmulya/resources/refs/heads/main/assets/images/0ba3cc76b100d424605ac044bc8aab96.svg</t>
  </si>
  <si>
    <t>ng</t>
  </si>
  <si>
    <t>ndo</t>
  </si>
  <si>
    <t>Ndonga</t>
  </si>
  <si>
    <t>Owambo</t>
  </si>
  <si>
    <t>https://raw.githubusercontent.com/dyonmulya/resources/refs/heads/main/assets/images/0c9622125803096792cb8a1528539f4a.svg</t>
  </si>
  <si>
    <t>nl</t>
  </si>
  <si>
    <t>nld</t>
  </si>
  <si>
    <t>Dutch</t>
  </si>
  <si>
    <t>Nederlands</t>
  </si>
  <si>
    <t>https://raw.githubusercontent.com/dyonmulya/resources/refs/heads/main/assets/images/e7b24c7e9203082653b04b7b79aa1f54.svg</t>
  </si>
  <si>
    <t>nn</t>
  </si>
  <si>
    <t>nno</t>
  </si>
  <si>
    <t>Norwegian Nynorsk</t>
  </si>
  <si>
    <t>nynorsk</t>
  </si>
  <si>
    <t>https://raw.githubusercontent.com/dyonmulya/resources/refs/heads/main/assets/images/d9078700da9b9b08ef9448cdb030f890.svg</t>
  </si>
  <si>
    <t>no</t>
  </si>
  <si>
    <t>nor</t>
  </si>
  <si>
    <t>Norwegian</t>
  </si>
  <si>
    <t>Norsk</t>
  </si>
  <si>
    <t>https://raw.githubusercontent.com/dyonmulya/resources/refs/heads/main/assets/images/e32b0f1bbbfa0aaacbc3aed283c96fd5.svg</t>
  </si>
  <si>
    <t>nr</t>
  </si>
  <si>
    <t>nbl</t>
  </si>
  <si>
    <t>South Ndebele</t>
  </si>
  <si>
    <t>https://raw.githubusercontent.com/dyonmulya/resources/refs/heads/main/assets/images/dc285cb65c09c965b7c4093f59f689d3.svg</t>
  </si>
  <si>
    <t>nv</t>
  </si>
  <si>
    <t>nav</t>
  </si>
  <si>
    <t>Navajo</t>
  </si>
  <si>
    <t>Diné bizaad</t>
  </si>
  <si>
    <t>https://raw.githubusercontent.com/dyonmulya/resources/refs/heads/main/assets/images/4ceeec5b5f56722fbbff5965f9489005.svg</t>
  </si>
  <si>
    <t>ny</t>
  </si>
  <si>
    <t>nya</t>
  </si>
  <si>
    <t>Nyanja</t>
  </si>
  <si>
    <t>Chichewa</t>
  </si>
  <si>
    <t>https://raw.githubusercontent.com/dyonmulya/resources/refs/heads/main/assets/images/b5d7c62adae345328b29c2ce10bb06cf.svg</t>
  </si>
  <si>
    <t>oc</t>
  </si>
  <si>
    <t>oci</t>
  </si>
  <si>
    <t>Occitan</t>
  </si>
  <si>
    <t>lenga d'òc</t>
  </si>
  <si>
    <t>https://raw.githubusercontent.com/dyonmulya/resources/refs/heads/main/assets/images/c28e4916947f745ba2e35da04c797241.svg</t>
  </si>
  <si>
    <t>oj</t>
  </si>
  <si>
    <t>oji</t>
  </si>
  <si>
    <t>Ojibwa</t>
  </si>
  <si>
    <t>ᐊᓂᔑᓈᐯᒧᐎᓐ</t>
  </si>
  <si>
    <t>https://raw.githubusercontent.com/dyonmulya/resources/refs/heads/main/assets/images/91f1db10291f1ae5cd927df7ad2344e9.svg</t>
  </si>
  <si>
    <t>om</t>
  </si>
  <si>
    <t>orm</t>
  </si>
  <si>
    <t>Oromo</t>
  </si>
  <si>
    <t>Oromoo</t>
  </si>
  <si>
    <t>https://raw.githubusercontent.com/dyonmulya/resources/refs/heads/main/assets/images/fad3eb49ca8b2e66524ef325c149010b.svg</t>
  </si>
  <si>
    <t>or</t>
  </si>
  <si>
    <t>ori</t>
  </si>
  <si>
    <t>Odia</t>
  </si>
  <si>
    <t>ଓଡ଼ିଆ</t>
  </si>
  <si>
    <t>https://raw.githubusercontent.com/dyonmulya/resources/refs/heads/main/assets/images/158c0ca41550cb0522975119c7ef142a.svg</t>
  </si>
  <si>
    <t>os</t>
  </si>
  <si>
    <t>oss</t>
  </si>
  <si>
    <t>Ossetic</t>
  </si>
  <si>
    <t>ирон взаг</t>
  </si>
  <si>
    <t>https://raw.githubusercontent.com/dyonmulya/resources/refs/heads/main/assets/images/9b07f5c574b687a958c47c21a7a7feab.svg</t>
  </si>
  <si>
    <t>pa</t>
  </si>
  <si>
    <t>pan</t>
  </si>
  <si>
    <t>Punjabi</t>
  </si>
  <si>
    <t>ਪੰਜਾਬੀ</t>
  </si>
  <si>
    <t>https://raw.githubusercontent.com/dyonmulya/resources/refs/heads/main/assets/images/de26a9244fa2e7091df0131be66c3136.svg</t>
  </si>
  <si>
    <t>pi</t>
  </si>
  <si>
    <t>pli</t>
  </si>
  <si>
    <t>Pali</t>
  </si>
  <si>
    <t>पाऴि</t>
  </si>
  <si>
    <t>https://raw.githubusercontent.com/dyonmulya/resources/refs/heads/main/assets/images/aa83c5394ae7000c8520336152552ef9.svg</t>
  </si>
  <si>
    <t>pl</t>
  </si>
  <si>
    <t>pol</t>
  </si>
  <si>
    <t>Polish</t>
  </si>
  <si>
    <t>polski</t>
  </si>
  <si>
    <t>https://raw.githubusercontent.com/dyonmulya/resources/refs/heads/main/assets/images/4e581b71ddd5bdc49120b05bc17341a2.svg</t>
  </si>
  <si>
    <t>ps</t>
  </si>
  <si>
    <t>pus</t>
  </si>
  <si>
    <t>Pashto</t>
  </si>
  <si>
    <t>پښتو</t>
  </si>
  <si>
    <t>https://raw.githubusercontent.com/dyonmulya/resources/refs/heads/main/assets/images/592e626f8b5b87e2cae8af698ab3523d.svg</t>
  </si>
  <si>
    <t>pt</t>
  </si>
  <si>
    <t>por</t>
  </si>
  <si>
    <t>Portuguese</t>
  </si>
  <si>
    <t>português</t>
  </si>
  <si>
    <t>https://raw.githubusercontent.com/dyonmulya/resources/refs/heads/main/assets/images/eacbbac1e353938b87be1d820a232c77.svg</t>
  </si>
  <si>
    <t>qu</t>
  </si>
  <si>
    <t>que</t>
  </si>
  <si>
    <t>Quechua</t>
  </si>
  <si>
    <t>Qhichwa simi</t>
  </si>
  <si>
    <t>https://raw.githubusercontent.com/dyonmulya/resources/refs/heads/main/assets/images/4ab0c7f6aeef5307f1caaae4fa8cde3b.svg</t>
  </si>
  <si>
    <t>rm</t>
  </si>
  <si>
    <t>roh</t>
  </si>
  <si>
    <t>Romansh</t>
  </si>
  <si>
    <t>rumantsch</t>
  </si>
  <si>
    <t>https://raw.githubusercontent.com/dyonmulya/resources/refs/heads/main/assets/images/fabc814d18a4269cf9b05729699ffc3a.svg</t>
  </si>
  <si>
    <t>rn</t>
  </si>
  <si>
    <t>run</t>
  </si>
  <si>
    <t>Rundi</t>
  </si>
  <si>
    <t>Ikirundi</t>
  </si>
  <si>
    <t>https://raw.githubusercontent.com/dyonmulya/resources/refs/heads/main/assets/images/4e63ee18f1b79146b29a5e7a0534f158.svg</t>
  </si>
  <si>
    <t>ro</t>
  </si>
  <si>
    <t>ron</t>
  </si>
  <si>
    <t>Romanian</t>
  </si>
  <si>
    <t>română</t>
  </si>
  <si>
    <t>https://raw.githubusercontent.com/dyonmulya/resources/refs/heads/main/assets/images/83c61b7ca94aa8e3b8087f797bc7f735.svg</t>
  </si>
  <si>
    <t>ru</t>
  </si>
  <si>
    <t>rus</t>
  </si>
  <si>
    <t>Russian</t>
  </si>
  <si>
    <t>Русский</t>
  </si>
  <si>
    <t>https://raw.githubusercontent.com/dyonmulya/resources/refs/heads/main/assets/images/b9d46368c3d32a77210dec62b31bc965.svg</t>
  </si>
  <si>
    <t>rw</t>
  </si>
  <si>
    <t>kin</t>
  </si>
  <si>
    <t>Kinyarwanda</t>
  </si>
  <si>
    <t>https://raw.githubusercontent.com/dyonmulya/resources/refs/heads/main/assets/images/ab86c005efb1aa36ec2eb9a7bd50a467.svg</t>
  </si>
  <si>
    <t>sa</t>
  </si>
  <si>
    <t>san</t>
  </si>
  <si>
    <t>Sanskrit</t>
  </si>
  <si>
    <t>संस्कृतम्</t>
  </si>
  <si>
    <t>https://raw.githubusercontent.com/dyonmulya/resources/refs/heads/main/assets/images/0372e0107b2edad7cd35b44b6c6f2575.svg</t>
  </si>
  <si>
    <t>sc</t>
  </si>
  <si>
    <t>srd</t>
  </si>
  <si>
    <t>Sardinian</t>
  </si>
  <si>
    <t>sardu</t>
  </si>
  <si>
    <t>https://raw.githubusercontent.com/dyonmulya/resources/refs/heads/main/assets/images/e56fc7d0dfa3bc651a045e19ec0c72db.svg</t>
  </si>
  <si>
    <t>sd</t>
  </si>
  <si>
    <t>snd</t>
  </si>
  <si>
    <t>Sindhi</t>
  </si>
  <si>
    <t>سنڌي</t>
  </si>
  <si>
    <t>https://raw.githubusercontent.com/dyonmulya/resources/refs/heads/main/assets/images/feb784309c3fc9cd5aa50deda4c036a8.svg</t>
  </si>
  <si>
    <t>se</t>
  </si>
  <si>
    <t>sme</t>
  </si>
  <si>
    <t>Northern Sami</t>
  </si>
  <si>
    <t>Davvismegiella</t>
  </si>
  <si>
    <t>https://raw.githubusercontent.com/dyonmulya/resources/refs/heads/main/assets/images/aec2f4384dd45729492ca0d24ff88b4d.svg</t>
  </si>
  <si>
    <t>sg</t>
  </si>
  <si>
    <t>sag</t>
  </si>
  <si>
    <t>Sango</t>
  </si>
  <si>
    <t>Sängö</t>
  </si>
  <si>
    <t>https://raw.githubusercontent.com/dyonmulya/resources/refs/heads/main/assets/images/8e56be4f3f8c1af8030588af6c75a1f6.svg</t>
  </si>
  <si>
    <t>si</t>
  </si>
  <si>
    <t>sin</t>
  </si>
  <si>
    <t>සිංහල</t>
  </si>
  <si>
    <t>https://raw.githubusercontent.com/dyonmulya/resources/refs/heads/main/assets/images/638d0dd8a6b0a4b69b5333ba20e2a444.svg</t>
  </si>
  <si>
    <t>sk</t>
  </si>
  <si>
    <t>slk</t>
  </si>
  <si>
    <t>Slovak</t>
  </si>
  <si>
    <t>slovenčina</t>
  </si>
  <si>
    <t>https://raw.githubusercontent.com/dyonmulya/resources/refs/heads/main/assets/images/59ed8ad5cfa6565ce2e719001f131506.svg</t>
  </si>
  <si>
    <t>sl</t>
  </si>
  <si>
    <t>slv</t>
  </si>
  <si>
    <t>Slovenian</t>
  </si>
  <si>
    <t>slovenščina</t>
  </si>
  <si>
    <t>https://raw.githubusercontent.com/dyonmulya/resources/refs/heads/main/assets/images/bb7f6483402c039c50d5b1ec9e28c794.svg</t>
  </si>
  <si>
    <t>sm</t>
  </si>
  <si>
    <t>smo</t>
  </si>
  <si>
    <t>Samoan</t>
  </si>
  <si>
    <t>Gagana fa'a Sāmoa</t>
  </si>
  <si>
    <t>https://raw.githubusercontent.com/dyonmulya/resources/refs/heads/main/assets/images/8b65c780d2ca9139948993eeeb167ee2.svg</t>
  </si>
  <si>
    <t>sn</t>
  </si>
  <si>
    <t>sna</t>
  </si>
  <si>
    <t>Shona</t>
  </si>
  <si>
    <t>chiShona</t>
  </si>
  <si>
    <t>https://raw.githubusercontent.com/dyonmulya/resources/refs/heads/main/assets/images/bd4c45198da863727361ec5c80507282.svg</t>
  </si>
  <si>
    <t>so</t>
  </si>
  <si>
    <t>som</t>
  </si>
  <si>
    <t>Somali</t>
  </si>
  <si>
    <t>Soomaali</t>
  </si>
  <si>
    <t>https://raw.githubusercontent.com/dyonmulya/resources/refs/heads/main/assets/images/9976c413aee481256abd21ee889b00d8.svg</t>
  </si>
  <si>
    <t>sq</t>
  </si>
  <si>
    <t>sqi</t>
  </si>
  <si>
    <t>Albanian</t>
  </si>
  <si>
    <t>Shqip</t>
  </si>
  <si>
    <t>https://raw.githubusercontent.com/dyonmulya/resources/refs/heads/main/assets/images/0c7c36bcf68d7613274e524b04f2cc74.svg</t>
  </si>
  <si>
    <t>sr</t>
  </si>
  <si>
    <t>srp</t>
  </si>
  <si>
    <t>Serbian</t>
  </si>
  <si>
    <t>Српски</t>
  </si>
  <si>
    <t>https://raw.githubusercontent.com/dyonmulya/resources/refs/heads/main/assets/images/b1b310d838a3ec4a4ef745774e50d972.svg</t>
  </si>
  <si>
    <t>ss</t>
  </si>
  <si>
    <t>ssw</t>
  </si>
  <si>
    <t>Swati</t>
  </si>
  <si>
    <t>SiSwati</t>
  </si>
  <si>
    <t>https://raw.githubusercontent.com/dyonmulya/resources/refs/heads/main/assets/images/945b697d5baa0d21ba2164e6ca31f9d2.svg</t>
  </si>
  <si>
    <t>st</t>
  </si>
  <si>
    <t>sot</t>
  </si>
  <si>
    <t>Southern Sotho</t>
  </si>
  <si>
    <t>Sesotho</t>
  </si>
  <si>
    <t>https://raw.githubusercontent.com/dyonmulya/resources/refs/heads/main/assets/images/2f9e686991a253c0154429b1d6491db6.svg</t>
  </si>
  <si>
    <t>su</t>
  </si>
  <si>
    <t>sun</t>
  </si>
  <si>
    <t>Sundanese</t>
  </si>
  <si>
    <t>Basa Sunda</t>
  </si>
  <si>
    <t>https://raw.githubusercontent.com/dyonmulya/resources/refs/heads/main/assets/images/b95f833826cb619bba68936929a65262.svg</t>
  </si>
  <si>
    <t>sv</t>
  </si>
  <si>
    <t>swe</t>
  </si>
  <si>
    <t>Swedish</t>
  </si>
  <si>
    <t>svenska</t>
  </si>
  <si>
    <t>https://raw.githubusercontent.com/dyonmulya/resources/refs/heads/main/assets/images/63056192399524e078c4a78177080814.svg</t>
  </si>
  <si>
    <t>sw</t>
  </si>
  <si>
    <t>swa</t>
  </si>
  <si>
    <t>Swahili</t>
  </si>
  <si>
    <t>Kiswahili</t>
  </si>
  <si>
    <t>https://raw.githubusercontent.com/dyonmulya/resources/refs/heads/main/assets/images/f5fff933d29291d8a5372818e45e1822.svg</t>
  </si>
  <si>
    <t>ta</t>
  </si>
  <si>
    <t>tam</t>
  </si>
  <si>
    <t>தமிழ்</t>
  </si>
  <si>
    <t>https://raw.githubusercontent.com/dyonmulya/resources/refs/heads/main/assets/images/72ca6c9fd8ae93bf04103280f4ee59e3.svg</t>
  </si>
  <si>
    <t>te</t>
  </si>
  <si>
    <t>tel</t>
  </si>
  <si>
    <t>తెలుగు</t>
  </si>
  <si>
    <t>https://raw.githubusercontent.com/dyonmulya/resources/refs/heads/main/assets/images/749bec4973b7aea9a92019ac3c3692d8.svg</t>
  </si>
  <si>
    <t>tg</t>
  </si>
  <si>
    <t>tgk</t>
  </si>
  <si>
    <t>Tajik</t>
  </si>
  <si>
    <t>тоҷикӣ</t>
  </si>
  <si>
    <t>https://raw.githubusercontent.com/dyonmulya/resources/refs/heads/main/assets/images/df5b6c5692bd851a7a485fcd71a6329e.svg</t>
  </si>
  <si>
    <t>th</t>
  </si>
  <si>
    <t>tha</t>
  </si>
  <si>
    <t>ไทย</t>
  </si>
  <si>
    <t>https://raw.githubusercontent.com/dyonmulya/resources/refs/heads/main/assets/images/51a2895badbdebbcd679a7e51e702186.svg</t>
  </si>
  <si>
    <t>ti</t>
  </si>
  <si>
    <t>tir</t>
  </si>
  <si>
    <t>Tigrinya</t>
  </si>
  <si>
    <t>ትግርኛ</t>
  </si>
  <si>
    <t>https://raw.githubusercontent.com/dyonmulya/resources/refs/heads/main/assets/images/8129f74a4b41643dd9aea551744bd5ee.svg</t>
  </si>
  <si>
    <t>tk</t>
  </si>
  <si>
    <t>tuk</t>
  </si>
  <si>
    <t>Turkmen</t>
  </si>
  <si>
    <t>Türkmençe</t>
  </si>
  <si>
    <t>https://raw.githubusercontent.com/dyonmulya/resources/refs/heads/main/assets/images/b0f8a1f5e14677891ca006e0c974812e.svg</t>
  </si>
  <si>
    <t>tl</t>
  </si>
  <si>
    <t>tgl</t>
  </si>
  <si>
    <t>Filipino</t>
  </si>
  <si>
    <t>Wikang Tagalog</t>
  </si>
  <si>
    <t>https://raw.githubusercontent.com/dyonmulya/resources/refs/heads/main/assets/images/3f15aba50f649b39c88c511efb28c0a0.svg</t>
  </si>
  <si>
    <t>tn</t>
  </si>
  <si>
    <t>tsn</t>
  </si>
  <si>
    <t>Tswana</t>
  </si>
  <si>
    <t>Setswana</t>
  </si>
  <si>
    <t>https://raw.githubusercontent.com/dyonmulya/resources/refs/heads/main/assets/images/3fe9fe79c9324b21e184cb8a0cd58bb6.svg</t>
  </si>
  <si>
    <t>to</t>
  </si>
  <si>
    <t>ton</t>
  </si>
  <si>
    <t>Tongan</t>
  </si>
  <si>
    <t>lea fakatonga</t>
  </si>
  <si>
    <t>https://raw.githubusercontent.com/dyonmulya/resources/refs/heads/main/assets/images/f7d1f45a73ef6978a1431271b946907a.svg</t>
  </si>
  <si>
    <t>tr</t>
  </si>
  <si>
    <t>tur</t>
  </si>
  <si>
    <t>Turkish</t>
  </si>
  <si>
    <t>Türkçe</t>
  </si>
  <si>
    <t>https://raw.githubusercontent.com/dyonmulya/resources/refs/heads/main/assets/images/c27c918d5c85945ea0ad42c1bba0fabf.svg</t>
  </si>
  <si>
    <t>ts</t>
  </si>
  <si>
    <t>tso</t>
  </si>
  <si>
    <t>Tsonga</t>
  </si>
  <si>
    <t>Xitsonga</t>
  </si>
  <si>
    <t>https://raw.githubusercontent.com/dyonmulya/resources/refs/heads/main/assets/images/4f685ebbac9ace767dcfc8b7d970be91.svg</t>
  </si>
  <si>
    <t>tt</t>
  </si>
  <si>
    <t>tat</t>
  </si>
  <si>
    <t>Tatar</t>
  </si>
  <si>
    <t>татар теле</t>
  </si>
  <si>
    <t>https://raw.githubusercontent.com/dyonmulya/resources/refs/heads/main/assets/images/7230761191d4b28f606aa1bb7beef2a2.svg</t>
  </si>
  <si>
    <t>tw</t>
  </si>
  <si>
    <t>twi</t>
  </si>
  <si>
    <t>Twi</t>
  </si>
  <si>
    <t>https://raw.githubusercontent.com/dyonmulya/resources/refs/heads/main/assets/images/23d2a9ab2f72189c0428a297e8061b3a.svg</t>
  </si>
  <si>
    <t>ty</t>
  </si>
  <si>
    <t>tah</t>
  </si>
  <si>
    <t>Tahitian</t>
  </si>
  <si>
    <t>Reo Tahiti</t>
  </si>
  <si>
    <t>https://raw.githubusercontent.com/dyonmulya/resources/refs/heads/main/assets/images/0ba64d4e6535ceba044b87fe371b9506.svg</t>
  </si>
  <si>
    <t>ug</t>
  </si>
  <si>
    <t>uig</t>
  </si>
  <si>
    <t>Uyghur</t>
  </si>
  <si>
    <t>ئۇيغۇرچە</t>
  </si>
  <si>
    <t>https://raw.githubusercontent.com/dyonmulya/resources/refs/heads/main/assets/images/bf87d3fae0107bd08ebbafe4027662b9.svg</t>
  </si>
  <si>
    <t>uk</t>
  </si>
  <si>
    <t>ukr</t>
  </si>
  <si>
    <t>Ukrainian</t>
  </si>
  <si>
    <t>українська</t>
  </si>
  <si>
    <t>https://raw.githubusercontent.com/dyonmulya/resources/refs/heads/main/assets/images/7e78107ff63adbf56a121bdf03e0267a.svg</t>
  </si>
  <si>
    <t>ur</t>
  </si>
  <si>
    <t>urd</t>
  </si>
  <si>
    <t>Urdu</t>
  </si>
  <si>
    <t>اردو</t>
  </si>
  <si>
    <t>https://raw.githubusercontent.com/dyonmulya/resources/refs/heads/main/assets/images/a670e214c47975df4871ad12ace08f0a.svg</t>
  </si>
  <si>
    <t>uz</t>
  </si>
  <si>
    <t>uzb</t>
  </si>
  <si>
    <t>Uzbek</t>
  </si>
  <si>
    <t>Ўзбек</t>
  </si>
  <si>
    <t>https://raw.githubusercontent.com/dyonmulya/resources/refs/heads/main/assets/images/55ba54e095fde3ca85253c97bef74bed.svg</t>
  </si>
  <si>
    <t>ve</t>
  </si>
  <si>
    <t>ven</t>
  </si>
  <si>
    <t>Venda</t>
  </si>
  <si>
    <t>Tshivenḓa</t>
  </si>
  <si>
    <t>https://raw.githubusercontent.com/dyonmulya/resources/refs/heads/main/assets/images/07ef8594a6f2c97f4a3ffdf5913b7989.svg</t>
  </si>
  <si>
    <t>vi</t>
  </si>
  <si>
    <t>vie</t>
  </si>
  <si>
    <t>Vietnamese</t>
  </si>
  <si>
    <t>Tiếng Việt</t>
  </si>
  <si>
    <t>https://raw.githubusercontent.com/dyonmulya/resources/refs/heads/main/assets/images/132e179d6c98a53b1bd27cc1f23ea20c.svg</t>
  </si>
  <si>
    <t>vo</t>
  </si>
  <si>
    <t>vol</t>
  </si>
  <si>
    <t>Volapük</t>
  </si>
  <si>
    <t>https://raw.githubusercontent.com/dyonmulya/resources/refs/heads/main/assets/images/70d6c19f24f72773b52a4f484499108c.svg</t>
  </si>
  <si>
    <t>wa</t>
  </si>
  <si>
    <t>wln</t>
  </si>
  <si>
    <t>Walloon</t>
  </si>
  <si>
    <t>walon</t>
  </si>
  <si>
    <t>https://raw.githubusercontent.com/dyonmulya/resources/refs/heads/main/assets/images/35f50bb5c9daf2fbb2e9e15af929569e.svg</t>
  </si>
  <si>
    <t>wo</t>
  </si>
  <si>
    <t>wol</t>
  </si>
  <si>
    <t>Wolof</t>
  </si>
  <si>
    <t>Wollof</t>
  </si>
  <si>
    <t>https://raw.githubusercontent.com/dyonmulya/resources/refs/heads/main/assets/images/e050866633513ae6dc9025035f3e4080.svg</t>
  </si>
  <si>
    <t>xh</t>
  </si>
  <si>
    <t>xho</t>
  </si>
  <si>
    <t>Xhosa</t>
  </si>
  <si>
    <t>isiXhosa</t>
  </si>
  <si>
    <t>https://raw.githubusercontent.com/dyonmulya/resources/refs/heads/main/assets/images/e1fd90ac932ac998850e56af23ddb63c.svg</t>
  </si>
  <si>
    <t>yi</t>
  </si>
  <si>
    <t>yid</t>
  </si>
  <si>
    <t>Yiddish</t>
  </si>
  <si>
    <t>ייִדיש</t>
  </si>
  <si>
    <t>https://raw.githubusercontent.com/dyonmulya/resources/refs/heads/main/assets/images/fd424fe27bd45a443d7c4d1182127c13.svg</t>
  </si>
  <si>
    <t>yo</t>
  </si>
  <si>
    <t>yor</t>
  </si>
  <si>
    <t>Yoruba</t>
  </si>
  <si>
    <t>Èdè Yorùbá</t>
  </si>
  <si>
    <t>https://raw.githubusercontent.com/dyonmulya/resources/refs/heads/main/assets/images/29e491e9093aacb610c9f76cc8528cfe.svg</t>
  </si>
  <si>
    <t>za</t>
  </si>
  <si>
    <t>zha</t>
  </si>
  <si>
    <t>Zhuang</t>
  </si>
  <si>
    <t>Saɯ cueŋƅ</t>
  </si>
  <si>
    <t>https://raw.githubusercontent.com/dyonmulya/resources/refs/heads/main/assets/images/e8f0743ac715e7e39d89b391d851cbc6.svg</t>
  </si>
  <si>
    <t>zh</t>
  </si>
  <si>
    <t>zho</t>
  </si>
  <si>
    <t>Chinese</t>
  </si>
  <si>
    <t>中文</t>
  </si>
  <si>
    <t>https://raw.githubusercontent.com/dyonmulya/resources/refs/heads/main/assets/images/f0d0e6491d6e559fd03b375785e9578c.svg</t>
  </si>
  <si>
    <t>zu</t>
  </si>
  <si>
    <t>zul</t>
  </si>
  <si>
    <t>Zulu</t>
  </si>
  <si>
    <t>isiZulu</t>
  </si>
  <si>
    <t>https://raw.githubusercontent.com/dyonmulya/resources/refs/heads/main/assets/images/73cf73e584beab8da41a04141cc81279.svg</t>
  </si>
  <si>
    <t>family_id</t>
  </si>
  <si>
    <t>scope_id</t>
  </si>
  <si>
    <t>script_id</t>
  </si>
  <si>
    <t>type_id</t>
  </si>
  <si>
    <t>code</t>
  </si>
  <si>
    <t>Abkhaz</t>
  </si>
  <si>
    <t>af-NA</t>
  </si>
  <si>
    <t>Afrikaans (Namibia)</t>
  </si>
  <si>
    <t>Afrikaans (Namibië)</t>
  </si>
  <si>
    <t>af-ZA</t>
  </si>
  <si>
    <t>Afrikaans (South Africa)</t>
  </si>
  <si>
    <t>Afrikaans (Suid-Afrika)</t>
  </si>
  <si>
    <t>ak-GH</t>
  </si>
  <si>
    <t>Akan (Ghana)</t>
  </si>
  <si>
    <t>Akan (Gaana)</t>
  </si>
  <si>
    <t>am-ET</t>
  </si>
  <si>
    <t>Amharic (Ethiopia)</t>
  </si>
  <si>
    <t>አማርኛ (ኢትዮጵያ)</t>
  </si>
  <si>
    <t>ar-AE</t>
  </si>
  <si>
    <t>Arabic (United Arab Emirates)</t>
  </si>
  <si>
    <t>العربية (الإمارات العربية المتحدة)</t>
  </si>
  <si>
    <t>ar-BH</t>
  </si>
  <si>
    <t>Arabic (Bahrain)</t>
  </si>
  <si>
    <t>العربية (البحرين)</t>
  </si>
  <si>
    <t>ar-DZ</t>
  </si>
  <si>
    <t>Arabic (Algeria)</t>
  </si>
  <si>
    <t>العربية (الجزائر)</t>
  </si>
  <si>
    <t>ar-EG</t>
  </si>
  <si>
    <t>Arabic (Egypt)</t>
  </si>
  <si>
    <t>العربية (مصر)</t>
  </si>
  <si>
    <t>ar-IQ</t>
  </si>
  <si>
    <t>Arabic (Iraq)</t>
  </si>
  <si>
    <t>العربية (العراق)</t>
  </si>
  <si>
    <t>ar-JO</t>
  </si>
  <si>
    <t>Arabic (Jordan)</t>
  </si>
  <si>
    <t>العربية (الأردن)</t>
  </si>
  <si>
    <t>ar-KW</t>
  </si>
  <si>
    <t>Arabic (Kuwait)</t>
  </si>
  <si>
    <t>العربية (الكويت)</t>
  </si>
  <si>
    <t>ar-LB</t>
  </si>
  <si>
    <t>Arabic (Lebanon)</t>
  </si>
  <si>
    <t>العربية (لبنان)</t>
  </si>
  <si>
    <t>ar-LY</t>
  </si>
  <si>
    <t>Arabic (Libya)</t>
  </si>
  <si>
    <t>العربية (ليبيا)</t>
  </si>
  <si>
    <t>ar-MA</t>
  </si>
  <si>
    <t>Arabic (Morocco)</t>
  </si>
  <si>
    <t>العربية (المغرب)</t>
  </si>
  <si>
    <t>ar-OM</t>
  </si>
  <si>
    <t>Arabic (Oman)</t>
  </si>
  <si>
    <t>العربية (عُمان)</t>
  </si>
  <si>
    <t>ar-QA</t>
  </si>
  <si>
    <t>Arabic (Qatar)</t>
  </si>
  <si>
    <t>العربية (قطر)</t>
  </si>
  <si>
    <t>ar-SA</t>
  </si>
  <si>
    <t>Arabic (Saudi Arabia)</t>
  </si>
  <si>
    <t>العربية (المملكة العربية السعودية)</t>
  </si>
  <si>
    <t>ar-SD</t>
  </si>
  <si>
    <t>Arabic (Sudan)</t>
  </si>
  <si>
    <t>العربية (السودان)</t>
  </si>
  <si>
    <t>ar-SY</t>
  </si>
  <si>
    <t>Arabic (Syria)</t>
  </si>
  <si>
    <t>العربية (سوريا)</t>
  </si>
  <si>
    <t>ar-TN</t>
  </si>
  <si>
    <t>Arabic (Tunisia)</t>
  </si>
  <si>
    <t>العربية (تونس)</t>
  </si>
  <si>
    <t>ar-YE</t>
  </si>
  <si>
    <t>Arabic (Yemen)</t>
  </si>
  <si>
    <t>العربية (اليمن)</t>
  </si>
  <si>
    <t>as-IN</t>
  </si>
  <si>
    <t>Assamese (India)</t>
  </si>
  <si>
    <t>অসমীয়া (ভাৰত)</t>
  </si>
  <si>
    <t>be-BY</t>
  </si>
  <si>
    <t>Belarusian (Belarus)</t>
  </si>
  <si>
    <t>беларуская (Беларусь)</t>
  </si>
  <si>
    <t>bg-BG</t>
  </si>
  <si>
    <t>Bulgarian (Bulgaria)</t>
  </si>
  <si>
    <t>български (България)</t>
  </si>
  <si>
    <t>bm-ML</t>
  </si>
  <si>
    <t>Bambara (Mali)</t>
  </si>
  <si>
    <t>bamanakan (Mali)</t>
  </si>
  <si>
    <t>bn-BD</t>
  </si>
  <si>
    <t>Bengali (Bangladesh)</t>
  </si>
  <si>
    <t>বাংলা (বাংলাদেশ)</t>
  </si>
  <si>
    <t>bn-IN</t>
  </si>
  <si>
    <t>Bengali (India)</t>
  </si>
  <si>
    <t>বাংলা (ভারত)</t>
  </si>
  <si>
    <t>bo-CN</t>
  </si>
  <si>
    <t>Tibetan (China)</t>
  </si>
  <si>
    <t>པོད་སྐད་ (རྒྱ་ནག)</t>
  </si>
  <si>
    <t>bo-IN</t>
  </si>
  <si>
    <t>Tibetan (India)</t>
  </si>
  <si>
    <t>པོད་སྐད་ (རྒྱ་གར་)</t>
  </si>
  <si>
    <t>br-FR</t>
  </si>
  <si>
    <t>Breton (France)</t>
  </si>
  <si>
    <t>brezhoneg (Frañs)</t>
  </si>
  <si>
    <t>bs-BA</t>
  </si>
  <si>
    <t>Bosnian (Bosnia and Herzegovina)</t>
  </si>
  <si>
    <t>bosanski (Bosna i Hercegovina)</t>
  </si>
  <si>
    <t>ca-ES</t>
  </si>
  <si>
    <t>Catalan (Spain)</t>
  </si>
  <si>
    <t>català (Espanya)</t>
  </si>
  <si>
    <t>cs-CZ</t>
  </si>
  <si>
    <t>Czech (Czech Republic)</t>
  </si>
  <si>
    <t>čeština (Česká republika)</t>
  </si>
  <si>
    <t>cy-GB</t>
  </si>
  <si>
    <t>Welsh (United Kingdom)</t>
  </si>
  <si>
    <t>Cymraeg (Prydain Fawr)</t>
  </si>
  <si>
    <t>da-DK</t>
  </si>
  <si>
    <t>Danish (Denmark)</t>
  </si>
  <si>
    <t>dansk (Danmark)</t>
  </si>
  <si>
    <t>de-AT</t>
  </si>
  <si>
    <t>German (Austria)</t>
  </si>
  <si>
    <t>Deutsch (Österreich)</t>
  </si>
  <si>
    <t>de-BE</t>
  </si>
  <si>
    <t>German (Belgium)</t>
  </si>
  <si>
    <t>Deutsch (Belgien)</t>
  </si>
  <si>
    <t>de-CH</t>
  </si>
  <si>
    <t>German (Switzerland)</t>
  </si>
  <si>
    <t>Deutsch (Schweiz)</t>
  </si>
  <si>
    <t>de-DE</t>
  </si>
  <si>
    <t>German (Germany)</t>
  </si>
  <si>
    <t>Deutsch (Deutschland)</t>
  </si>
  <si>
    <t>de-LI</t>
  </si>
  <si>
    <t>German (Liechtenstein)</t>
  </si>
  <si>
    <t>Deutsch (Liechtenstein)</t>
  </si>
  <si>
    <t>de-LU</t>
  </si>
  <si>
    <t>German (Luxembourg)</t>
  </si>
  <si>
    <t>Deutsch (Luxemburg)</t>
  </si>
  <si>
    <t>Dhivehi</t>
  </si>
  <si>
    <t>ee-GH</t>
  </si>
  <si>
    <t>Ewe (Ghana)</t>
  </si>
  <si>
    <t>eʋegbe (Ghana nutome)</t>
  </si>
  <si>
    <t>ee-TG</t>
  </si>
  <si>
    <t>Ewe (Togo)</t>
  </si>
  <si>
    <t>eʋegbe (Togo nutome)</t>
  </si>
  <si>
    <t>el-CY</t>
  </si>
  <si>
    <t>Greek (Cyprus)</t>
  </si>
  <si>
    <t>Ελληνικά (Κύπρος)</t>
  </si>
  <si>
    <t>el-GR</t>
  </si>
  <si>
    <t>Greek (Greece)</t>
  </si>
  <si>
    <t>Ελληνικά (Ελλάδα)</t>
  </si>
  <si>
    <t>en-AS</t>
  </si>
  <si>
    <t>English (American Samoa)</t>
  </si>
  <si>
    <t>en-AU</t>
  </si>
  <si>
    <t>English (Australia)</t>
  </si>
  <si>
    <t>en-BB</t>
  </si>
  <si>
    <t>English (Barbados)</t>
  </si>
  <si>
    <t>en-BE</t>
  </si>
  <si>
    <t>English (Belgium)</t>
  </si>
  <si>
    <t>en-BM</t>
  </si>
  <si>
    <t>English (Bermuda)</t>
  </si>
  <si>
    <t>en-BW</t>
  </si>
  <si>
    <t>English (Botswana)</t>
  </si>
  <si>
    <t>en-BZ</t>
  </si>
  <si>
    <t>English (Belize)</t>
  </si>
  <si>
    <t>en-CA</t>
  </si>
  <si>
    <t>English (Canada)</t>
  </si>
  <si>
    <t>en-GB</t>
  </si>
  <si>
    <t>English (United Kingdom)</t>
  </si>
  <si>
    <t>en-GU</t>
  </si>
  <si>
    <t>English (Guam)</t>
  </si>
  <si>
    <t>en-GY</t>
  </si>
  <si>
    <t>English (Guyana)</t>
  </si>
  <si>
    <t>en-HK</t>
  </si>
  <si>
    <t>English (Hong Kong SAR China)</t>
  </si>
  <si>
    <t>en-IE</t>
  </si>
  <si>
    <t>English (Ireland)</t>
  </si>
  <si>
    <t>en-IN</t>
  </si>
  <si>
    <t>English (India)</t>
  </si>
  <si>
    <t>en-JM</t>
  </si>
  <si>
    <t>English (Jamaica)</t>
  </si>
  <si>
    <t>en-MH</t>
  </si>
  <si>
    <t>English (Marshall Islands)</t>
  </si>
  <si>
    <t>en-MP</t>
  </si>
  <si>
    <t>English (Northern Mariana Islands)</t>
  </si>
  <si>
    <t>en-MT</t>
  </si>
  <si>
    <t>English (Malta)</t>
  </si>
  <si>
    <t>en-MU</t>
  </si>
  <si>
    <t>English (Mauritius)</t>
  </si>
  <si>
    <t>en-NA</t>
  </si>
  <si>
    <t>English (Namibia)</t>
  </si>
  <si>
    <t>en-NZ</t>
  </si>
  <si>
    <t>English (New Zealand)</t>
  </si>
  <si>
    <t>en-PH</t>
  </si>
  <si>
    <t>English (Philippines)</t>
  </si>
  <si>
    <t>en-PK</t>
  </si>
  <si>
    <t>English (Pakistan)</t>
  </si>
  <si>
    <t>en-SG</t>
  </si>
  <si>
    <t>English (Singapore)</t>
  </si>
  <si>
    <t>en-TT</t>
  </si>
  <si>
    <t>English (Trinidad and Tobago)</t>
  </si>
  <si>
    <t>en-UM</t>
  </si>
  <si>
    <t>English (U.S. Minor Outlying Islands)</t>
  </si>
  <si>
    <t>en-US</t>
  </si>
  <si>
    <t>English (United States)</t>
  </si>
  <si>
    <t>en-VI</t>
  </si>
  <si>
    <t>English (U.S. Virgin Islands)</t>
  </si>
  <si>
    <t>en-ZA</t>
  </si>
  <si>
    <t>English (South Africa)</t>
  </si>
  <si>
    <t>en-ZW</t>
  </si>
  <si>
    <t>English (Zimbabwe)</t>
  </si>
  <si>
    <t>es-AR</t>
  </si>
  <si>
    <t>Spanish (Argentina)</t>
  </si>
  <si>
    <t>español (Argentina)</t>
  </si>
  <si>
    <t>es-BO</t>
  </si>
  <si>
    <t>Spanish (Bolivia)</t>
  </si>
  <si>
    <t>español (Bolivia)</t>
  </si>
  <si>
    <t>es-CL</t>
  </si>
  <si>
    <t>Spanish (Chile)</t>
  </si>
  <si>
    <t>español (Chile)</t>
  </si>
  <si>
    <t>es-CO</t>
  </si>
  <si>
    <t>Spanish (Colombia)</t>
  </si>
  <si>
    <t>español (Colombia)</t>
  </si>
  <si>
    <t>es-CR</t>
  </si>
  <si>
    <t>Spanish (Costa Rica)</t>
  </si>
  <si>
    <t>español (Costa Rica)</t>
  </si>
  <si>
    <t>es-DO</t>
  </si>
  <si>
    <t>Spanish (Dominican Republic)</t>
  </si>
  <si>
    <t>español (República Dominicana)</t>
  </si>
  <si>
    <t>es-EC</t>
  </si>
  <si>
    <t>Spanish (Ecuador)</t>
  </si>
  <si>
    <t>español (Ecuador)</t>
  </si>
  <si>
    <t>es-ES</t>
  </si>
  <si>
    <t>Spanish (Spain)</t>
  </si>
  <si>
    <t>español (España)</t>
  </si>
  <si>
    <t>es-GQ</t>
  </si>
  <si>
    <t>Spanish (Equatorial Guinea)</t>
  </si>
  <si>
    <t>español (Guinea Ecuatorial)</t>
  </si>
  <si>
    <t>es-GT</t>
  </si>
  <si>
    <t>Spanish (Guatemala)</t>
  </si>
  <si>
    <t>español (Guatemala)</t>
  </si>
  <si>
    <t>es-HN</t>
  </si>
  <si>
    <t>Spanish (Honduras)</t>
  </si>
  <si>
    <t>español (Honduras)</t>
  </si>
  <si>
    <t>es-MX</t>
  </si>
  <si>
    <t>Spanish (Mexico)</t>
  </si>
  <si>
    <t>español (México)</t>
  </si>
  <si>
    <t>es-NI</t>
  </si>
  <si>
    <t>Spanish (Nicaragua)</t>
  </si>
  <si>
    <t>español (Nicaragua)</t>
  </si>
  <si>
    <t>es-PA</t>
  </si>
  <si>
    <t>Spanish (Panama)</t>
  </si>
  <si>
    <t>español (Panamá)</t>
  </si>
  <si>
    <t>es-PE</t>
  </si>
  <si>
    <t>Spanish (Peru)</t>
  </si>
  <si>
    <t>español (Perú)</t>
  </si>
  <si>
    <t>es-PR</t>
  </si>
  <si>
    <t>Spanish (Puerto Rico)</t>
  </si>
  <si>
    <t>español (Puerto Rico)</t>
  </si>
  <si>
    <t>es-PY</t>
  </si>
  <si>
    <t>Spanish (Paraguay)</t>
  </si>
  <si>
    <t>español (Paraguay)</t>
  </si>
  <si>
    <t>es-SV</t>
  </si>
  <si>
    <t>Spanish (El Salvador)</t>
  </si>
  <si>
    <t>español (El Salvador)</t>
  </si>
  <si>
    <t>es-US</t>
  </si>
  <si>
    <t>Spanish (United States)</t>
  </si>
  <si>
    <t>español (Estados Unidos)</t>
  </si>
  <si>
    <t>es-UY</t>
  </si>
  <si>
    <t>Spanish (Uruguay)</t>
  </si>
  <si>
    <t>español (Uruguay)</t>
  </si>
  <si>
    <t>es-VE</t>
  </si>
  <si>
    <t>Spanish (Venezuela)</t>
  </si>
  <si>
    <t>español (Venezuela)</t>
  </si>
  <si>
    <t>et-EE</t>
  </si>
  <si>
    <t>Estonian (Estonia)</t>
  </si>
  <si>
    <t>eesti (Eesti)</t>
  </si>
  <si>
    <t>eu-ES</t>
  </si>
  <si>
    <t>Basque (Spain)</t>
  </si>
  <si>
    <t>euskara (Espainia)</t>
  </si>
  <si>
    <t>fa-AF</t>
  </si>
  <si>
    <t>Persian (Afghanistan)</t>
  </si>
  <si>
    <t>دری (افغانستان)</t>
  </si>
  <si>
    <t>fa-IR</t>
  </si>
  <si>
    <t>Persian (Iran)</t>
  </si>
  <si>
    <t>فارسی (ایران)</t>
  </si>
  <si>
    <t>ff-SN</t>
  </si>
  <si>
    <t>Fulah (Senegal)</t>
  </si>
  <si>
    <t>Pulaar (Senegaal)</t>
  </si>
  <si>
    <t>fi-FI</t>
  </si>
  <si>
    <t>Finnish (Finland)</t>
  </si>
  <si>
    <t>suomi (Suomi)</t>
  </si>
  <si>
    <t>fo-FO</t>
  </si>
  <si>
    <t>Faroese (Faroe Islands)</t>
  </si>
  <si>
    <t>føroyskt (Føroyar)</t>
  </si>
  <si>
    <t>fr-BE</t>
  </si>
  <si>
    <t>French (Belgium)</t>
  </si>
  <si>
    <t>français (Belgique)</t>
  </si>
  <si>
    <t>fr-BF</t>
  </si>
  <si>
    <t>French (Burkina Faso)</t>
  </si>
  <si>
    <t>français (Burkina Faso)</t>
  </si>
  <si>
    <t>fr-BI</t>
  </si>
  <si>
    <t>French (Burundi)</t>
  </si>
  <si>
    <t>français (Burundi)</t>
  </si>
  <si>
    <t>fr-BJ</t>
  </si>
  <si>
    <t>French (Benin)</t>
  </si>
  <si>
    <t>français (Bénin)</t>
  </si>
  <si>
    <t>fr-BL</t>
  </si>
  <si>
    <t>French (Saint Barthélemy)</t>
  </si>
  <si>
    <t>français (Saint-Barthélémy)</t>
  </si>
  <si>
    <t>fr-CA</t>
  </si>
  <si>
    <t>French (Canada)</t>
  </si>
  <si>
    <t>français (Canada)</t>
  </si>
  <si>
    <t>fr-CD</t>
  </si>
  <si>
    <t>French (Congo - Kinshasa)</t>
  </si>
  <si>
    <t>français (République démocratique du Congo)</t>
  </si>
  <si>
    <t>fr-CF</t>
  </si>
  <si>
    <t>French (Central African Republic)</t>
  </si>
  <si>
    <t>français (République centrafricaine)</t>
  </si>
  <si>
    <t>fr-CG</t>
  </si>
  <si>
    <t>French (Congo - Brazzaville)</t>
  </si>
  <si>
    <t>français (Congo-Brazzaville)</t>
  </si>
  <si>
    <t>fr-CH</t>
  </si>
  <si>
    <t>French (Switzerland)</t>
  </si>
  <si>
    <t>français (Suisse)</t>
  </si>
  <si>
    <t>fr-CI</t>
  </si>
  <si>
    <t>French (Côte d’Ivoire)</t>
  </si>
  <si>
    <t>français (Côte d’Ivoire)</t>
  </si>
  <si>
    <t>fr-CM</t>
  </si>
  <si>
    <t>French (Cameroon)</t>
  </si>
  <si>
    <t>français (Cameroun)</t>
  </si>
  <si>
    <t>fr-DJ</t>
  </si>
  <si>
    <t>French (Djibouti)</t>
  </si>
  <si>
    <t>français (Djibouti)</t>
  </si>
  <si>
    <t>fr-FR</t>
  </si>
  <si>
    <t>French (France)</t>
  </si>
  <si>
    <t>français (France)</t>
  </si>
  <si>
    <t>fr-GA</t>
  </si>
  <si>
    <t>French (Gabon)</t>
  </si>
  <si>
    <t>français (Gabon)</t>
  </si>
  <si>
    <t>fr-GF</t>
  </si>
  <si>
    <t>French (French Guiana)</t>
  </si>
  <si>
    <t>français (Guyane française)</t>
  </si>
  <si>
    <t>fr-GN</t>
  </si>
  <si>
    <t>French (Guinea)</t>
  </si>
  <si>
    <t>français (Guinée)</t>
  </si>
  <si>
    <t>fr-GP</t>
  </si>
  <si>
    <t>French (Guadeloupe)</t>
  </si>
  <si>
    <t>français (Guadeloupe)</t>
  </si>
  <si>
    <t>fr-GQ</t>
  </si>
  <si>
    <t>French (Equatorial Guinea)</t>
  </si>
  <si>
    <t>français (Guinée équatoriale)</t>
  </si>
  <si>
    <t>fr-KM</t>
  </si>
  <si>
    <t>French (Comoros)</t>
  </si>
  <si>
    <t>français (Comores)</t>
  </si>
  <si>
    <t>fr-LU</t>
  </si>
  <si>
    <t>French (Luxembourg)</t>
  </si>
  <si>
    <t>français (Luxembourg)</t>
  </si>
  <si>
    <t>fr-MC</t>
  </si>
  <si>
    <t>French (Monaco)</t>
  </si>
  <si>
    <t>français (Monaco)</t>
  </si>
  <si>
    <t>fr-MF</t>
  </si>
  <si>
    <t>French (Saint Martin)</t>
  </si>
  <si>
    <t>français (Saint-Martin)</t>
  </si>
  <si>
    <t>fr-MG</t>
  </si>
  <si>
    <t>French (Madagascar)</t>
  </si>
  <si>
    <t>français (Madagascar)</t>
  </si>
  <si>
    <t>fr-ML</t>
  </si>
  <si>
    <t>French (Mali)</t>
  </si>
  <si>
    <t>français (Mali)</t>
  </si>
  <si>
    <t>fr-MQ</t>
  </si>
  <si>
    <t>French (Martinique)</t>
  </si>
  <si>
    <t>français (Martinique)</t>
  </si>
  <si>
    <t>fr-NE</t>
  </si>
  <si>
    <t>French (Niger)</t>
  </si>
  <si>
    <t>français (Niger)</t>
  </si>
  <si>
    <t>fr-RE</t>
  </si>
  <si>
    <t>French (Réunion)</t>
  </si>
  <si>
    <t>français (Réunion)</t>
  </si>
  <si>
    <t>fr-RW</t>
  </si>
  <si>
    <t>French (Rwanda)</t>
  </si>
  <si>
    <t>français (Rwanda)</t>
  </si>
  <si>
    <t>fr-SN</t>
  </si>
  <si>
    <t>French (Senegal)</t>
  </si>
  <si>
    <t>français (Sénégal)</t>
  </si>
  <si>
    <t>fr-TD</t>
  </si>
  <si>
    <t>French (Chad)</t>
  </si>
  <si>
    <t>français (Tchad)</t>
  </si>
  <si>
    <t>fr-TG</t>
  </si>
  <si>
    <t>French (Togo)</t>
  </si>
  <si>
    <t>français (Togo)</t>
  </si>
  <si>
    <t>fr-YT</t>
  </si>
  <si>
    <t>French (Mayotte)</t>
  </si>
  <si>
    <t>français (Mayotte)</t>
  </si>
  <si>
    <t>ga-IE</t>
  </si>
  <si>
    <t>Irish (Ireland)</t>
  </si>
  <si>
    <t>Gaeilge (Éire)</t>
  </si>
  <si>
    <t>gl-ES</t>
  </si>
  <si>
    <t>Galician (Spain)</t>
  </si>
  <si>
    <t>galego (España)</t>
  </si>
  <si>
    <t>gu-IN</t>
  </si>
  <si>
    <t>Gujarati (India)</t>
  </si>
  <si>
    <t>ગુજરાતી (ભારત)</t>
  </si>
  <si>
    <t>gv-GB</t>
  </si>
  <si>
    <t>Manx (United Kingdom)</t>
  </si>
  <si>
    <t>Gaelg (Rywvaneth Unys)</t>
  </si>
  <si>
    <t>he-IL</t>
  </si>
  <si>
    <t>Hebrew (Israel)</t>
  </si>
  <si>
    <t>עברית (ישראל)</t>
  </si>
  <si>
    <t>hi-IN</t>
  </si>
  <si>
    <t>Hindi (India)</t>
  </si>
  <si>
    <t>हिन्दी (भारत)</t>
  </si>
  <si>
    <t>hr-HR</t>
  </si>
  <si>
    <t>Croatian (Croatia)</t>
  </si>
  <si>
    <t>hrvatski (Hrvatska)</t>
  </si>
  <si>
    <t>Haitian</t>
  </si>
  <si>
    <t>hu-HU</t>
  </si>
  <si>
    <t>Hungarian (Hungary)</t>
  </si>
  <si>
    <t>magyar (Magyarország)</t>
  </si>
  <si>
    <t>hy-AM</t>
  </si>
  <si>
    <t>Armenian (Armenia)</t>
  </si>
  <si>
    <t>Հայերէն (Հայաստանի Հանրապետութիւն)</t>
  </si>
  <si>
    <t>id-ID</t>
  </si>
  <si>
    <t>Indonesian (Indonesia)</t>
  </si>
  <si>
    <t>Bahasa Indonesia (Indonesia)</t>
  </si>
  <si>
    <t>ig-NG</t>
  </si>
  <si>
    <t>Igbo (Nigeria)</t>
  </si>
  <si>
    <t>Nuosu</t>
  </si>
  <si>
    <t>ii-CN</t>
  </si>
  <si>
    <t>Sichuan Yi (China)</t>
  </si>
  <si>
    <t>ꆈꌠꉙ (ꍏꇩ)</t>
  </si>
  <si>
    <t>is-IS</t>
  </si>
  <si>
    <t>Icelandic (Iceland)</t>
  </si>
  <si>
    <t>íslenska (Ísland)</t>
  </si>
  <si>
    <t>it-CH</t>
  </si>
  <si>
    <t>Italian (Switzerland)</t>
  </si>
  <si>
    <t>italiano (Svizzera)</t>
  </si>
  <si>
    <t>it-IT</t>
  </si>
  <si>
    <t>Italian (Italy)</t>
  </si>
  <si>
    <t>italiano (Italia)</t>
  </si>
  <si>
    <t>ja-JP</t>
  </si>
  <si>
    <t>Japanese (Japan)</t>
  </si>
  <si>
    <t>日本語(日本)</t>
  </si>
  <si>
    <t>ka-GE</t>
  </si>
  <si>
    <t>Georgian (Georgia)</t>
  </si>
  <si>
    <t>ქართული (საქართველო)</t>
  </si>
  <si>
    <t>Gikuyu</t>
  </si>
  <si>
    <t>ki-KE</t>
  </si>
  <si>
    <t>Kikuyu (Kenya)</t>
  </si>
  <si>
    <t>Gikuyu (Kenya)</t>
  </si>
  <si>
    <t>Kwanyama</t>
  </si>
  <si>
    <t>kl-GL</t>
  </si>
  <si>
    <t>Kalaallisut (Greenland)</t>
  </si>
  <si>
    <t>kalaallisut (Kalaallit Nunaat)</t>
  </si>
  <si>
    <t>km-KH</t>
  </si>
  <si>
    <t>Khmer (Cambodia)</t>
  </si>
  <si>
    <t>ភាសាខ្មែរ (កម្ពុជា)</t>
  </si>
  <si>
    <t>kn-IN</t>
  </si>
  <si>
    <t>Kannada (India)</t>
  </si>
  <si>
    <t>ಕನ್ನಡ (ಭಾರತ)</t>
  </si>
  <si>
    <t>ko-KR</t>
  </si>
  <si>
    <t>Korean (South Korea)</t>
  </si>
  <si>
    <t>한국어(대한민국)</t>
  </si>
  <si>
    <t>kw-GB</t>
  </si>
  <si>
    <t>Cornish (United Kingdom)</t>
  </si>
  <si>
    <t>kernewek (Rywvaneth Unys)</t>
  </si>
  <si>
    <t>Кyrgyz</t>
  </si>
  <si>
    <t>lg-UG</t>
  </si>
  <si>
    <t>Ganda (Uganda)</t>
  </si>
  <si>
    <t>Luganda (Yuganda)</t>
  </si>
  <si>
    <t>Limburgan</t>
  </si>
  <si>
    <t>ln-CD</t>
  </si>
  <si>
    <t>Lingala (Congo - Kinshasa)</t>
  </si>
  <si>
    <t>lingála (Repibiki demokratiki ya Kongó)</t>
  </si>
  <si>
    <t>ln-CG</t>
  </si>
  <si>
    <t>Lingala (Congo - Brazzaville)</t>
  </si>
  <si>
    <t>lingála (Kongo)</t>
  </si>
  <si>
    <t>lt-LT</t>
  </si>
  <si>
    <t>Lithuanian (Lithuania)</t>
  </si>
  <si>
    <t>lietuvių (Lietuva)</t>
  </si>
  <si>
    <t>lu-CD</t>
  </si>
  <si>
    <t>Luba-Katanga (Congo - Kinshasa)</t>
  </si>
  <si>
    <t>Tshiluba (Ditunga wa Kongu)</t>
  </si>
  <si>
    <t>lv-LV</t>
  </si>
  <si>
    <t>Latvian (Latvia)</t>
  </si>
  <si>
    <t>latviešu (Latvija)</t>
  </si>
  <si>
    <t>mg-MG</t>
  </si>
  <si>
    <t>Malagasy (Madagascar)</t>
  </si>
  <si>
    <t>Malagasy (Madagasikara)</t>
  </si>
  <si>
    <t>Maori</t>
  </si>
  <si>
    <t>mk-MK</t>
  </si>
  <si>
    <t>Macedonian (Macedonia)</t>
  </si>
  <si>
    <t>македонски (Македонија)</t>
  </si>
  <si>
    <t>ml-IN</t>
  </si>
  <si>
    <t>Malayalam (India)</t>
  </si>
  <si>
    <t>മലയാളം (ഇന്ത്യ)</t>
  </si>
  <si>
    <t>mr-IN</t>
  </si>
  <si>
    <t>Marathi (India)</t>
  </si>
  <si>
    <t>मराठी (भारत)</t>
  </si>
  <si>
    <t>ms-BN</t>
  </si>
  <si>
    <t>Malay (Brunei)</t>
  </si>
  <si>
    <t>Bahasa Melayu (Brunei)</t>
  </si>
  <si>
    <t>ms-MY</t>
  </si>
  <si>
    <t>Malay (Malaysia)</t>
  </si>
  <si>
    <t>Bahasa Melayu (Malaysia)</t>
  </si>
  <si>
    <t>mt-MT</t>
  </si>
  <si>
    <t>Maltese (Malta)</t>
  </si>
  <si>
    <t>Malti (Malta)</t>
  </si>
  <si>
    <t>my-MM</t>
  </si>
  <si>
    <t>Burmese (Myanmar [Burma])</t>
  </si>
  <si>
    <t>ဗမာ (မြန်မာ)</t>
  </si>
  <si>
    <t>nb-NO</t>
  </si>
  <si>
    <t>Norwegian Bokmål (Norway)</t>
  </si>
  <si>
    <t>norsk bokmål (Norge)</t>
  </si>
  <si>
    <t>Northern Ndebele</t>
  </si>
  <si>
    <t>nd-ZW</t>
  </si>
  <si>
    <t>North Ndebele (Zimbabwe)</t>
  </si>
  <si>
    <t>isiNdebele (Zimbabwe)</t>
  </si>
  <si>
    <t>ne-IN</t>
  </si>
  <si>
    <t>Nepali (India)</t>
  </si>
  <si>
    <t>नेपाली (भारत)</t>
  </si>
  <si>
    <t>ne-NP</t>
  </si>
  <si>
    <t>Nepali (Nepal)</t>
  </si>
  <si>
    <t>नेपाली (नेपाल)</t>
  </si>
  <si>
    <t>nl-AW</t>
  </si>
  <si>
    <t>Dutch (Aruba)</t>
  </si>
  <si>
    <t>Nederlands (Aruba)</t>
  </si>
  <si>
    <t>nl-BE</t>
  </si>
  <si>
    <t>Dutch (Belgium)</t>
  </si>
  <si>
    <t>Nederlands (België)</t>
  </si>
  <si>
    <t>nl-CW</t>
  </si>
  <si>
    <t>Dutch (Curaçao)</t>
  </si>
  <si>
    <t>Nederlands (Curaçao)</t>
  </si>
  <si>
    <t>nl-NL</t>
  </si>
  <si>
    <t>Dutch (Netherlands)</t>
  </si>
  <si>
    <t>Nederlands (Nederland)</t>
  </si>
  <si>
    <t>nl-SX</t>
  </si>
  <si>
    <t>Dutch (Sint Maarten)</t>
  </si>
  <si>
    <t>Nederlands (Sint Maarten)</t>
  </si>
  <si>
    <t>nn-NO</t>
  </si>
  <si>
    <t>Norwegian Nynorsk (Norway)</t>
  </si>
  <si>
    <t>nynorsk (Noreg)</t>
  </si>
  <si>
    <t>Southern Ndebele</t>
  </si>
  <si>
    <t>om-ET</t>
  </si>
  <si>
    <t>Oromo (Ethiopia)</t>
  </si>
  <si>
    <t>Oromoo (Itoophiyaa)</t>
  </si>
  <si>
    <t>om-KE</t>
  </si>
  <si>
    <t>Oromo (Kenya)</t>
  </si>
  <si>
    <t>Oromoo (Keeniyaa)</t>
  </si>
  <si>
    <t>or-IN</t>
  </si>
  <si>
    <t>Oriya (India)</t>
  </si>
  <si>
    <t>ଓଡ଼ିଆ (ଭାରତ)</t>
  </si>
  <si>
    <t>Ossetian</t>
  </si>
  <si>
    <t>pl-PL</t>
  </si>
  <si>
    <t>Polish (Poland)</t>
  </si>
  <si>
    <t>polski (Polska)</t>
  </si>
  <si>
    <t>ps-AF</t>
  </si>
  <si>
    <t>Pashto (Afghanistan)</t>
  </si>
  <si>
    <t>پښتو (افغانستان)</t>
  </si>
  <si>
    <t>pt-AO</t>
  </si>
  <si>
    <t>Portuguese (Angola)</t>
  </si>
  <si>
    <t>português (Angola)</t>
  </si>
  <si>
    <t>pt-BR</t>
  </si>
  <si>
    <t>Portuguese (Brazil)</t>
  </si>
  <si>
    <t>português (Brasil)</t>
  </si>
  <si>
    <t>pt-GW</t>
  </si>
  <si>
    <t>Portuguese (Guinea-Bissau)</t>
  </si>
  <si>
    <t>português (Guiné Bissau)</t>
  </si>
  <si>
    <t>pt-MZ</t>
  </si>
  <si>
    <t>Portuguese (Mozambique)</t>
  </si>
  <si>
    <t>português (Moçambique)</t>
  </si>
  <si>
    <t>pt-PT</t>
  </si>
  <si>
    <t>Portuguese (Portugal)</t>
  </si>
  <si>
    <t>português (Portugal)</t>
  </si>
  <si>
    <t>pt-ST</t>
  </si>
  <si>
    <t>Portuguese (São Tomé and Príncipe)</t>
  </si>
  <si>
    <t>português (São Tomé e Príncipe)</t>
  </si>
  <si>
    <t>rm-CH</t>
  </si>
  <si>
    <t>Romansh (Switzerland)</t>
  </si>
  <si>
    <t>rumantsch (Svizra)</t>
  </si>
  <si>
    <t>Kirundi</t>
  </si>
  <si>
    <t>rn-BI</t>
  </si>
  <si>
    <t>Rundi (Burundi)</t>
  </si>
  <si>
    <t>Ikirundi (Uburundi)</t>
  </si>
  <si>
    <t>ro-MD</t>
  </si>
  <si>
    <t>Romanian (Moldova)</t>
  </si>
  <si>
    <t>română (Republica Moldova)</t>
  </si>
  <si>
    <t>ro-RO</t>
  </si>
  <si>
    <t>Romanian (Romania)</t>
  </si>
  <si>
    <t>română (România)</t>
  </si>
  <si>
    <t>ru-MD</t>
  </si>
  <si>
    <t>Russian (Moldova)</t>
  </si>
  <si>
    <t>русский (Молдова)</t>
  </si>
  <si>
    <t>ru-RU</t>
  </si>
  <si>
    <t>Russian (Russia)</t>
  </si>
  <si>
    <t>русский (Россия)</t>
  </si>
  <si>
    <t>ru-UA</t>
  </si>
  <si>
    <t>Russian (Ukraine)</t>
  </si>
  <si>
    <t>русский (Украина)</t>
  </si>
  <si>
    <t>rw-RW</t>
  </si>
  <si>
    <t>Kinyarwanda (Rwanda)</t>
  </si>
  <si>
    <t>sg-CF</t>
  </si>
  <si>
    <t>Sango (Central African Republic)</t>
  </si>
  <si>
    <t>Sängö (Ködörösêse tî Bêafrîka)</t>
  </si>
  <si>
    <t>si-LK</t>
  </si>
  <si>
    <t>Sinhala (Sri Lanka)</t>
  </si>
  <si>
    <t>සිංහල (ශ්‍රී ලංකාව)</t>
  </si>
  <si>
    <t>sk-SK</t>
  </si>
  <si>
    <t>Slovak (Slovakia)</t>
  </si>
  <si>
    <t>slovenčina (Slovenská republika)</t>
  </si>
  <si>
    <t>Slovene</t>
  </si>
  <si>
    <t>sl-SI</t>
  </si>
  <si>
    <t>Slovenian (Slovenia)</t>
  </si>
  <si>
    <t>slovenščina (Slovenija)</t>
  </si>
  <si>
    <t>sn-ZW</t>
  </si>
  <si>
    <t>Shona (Zimbabwe)</t>
  </si>
  <si>
    <t>chiShona (Zimbabwe)</t>
  </si>
  <si>
    <t>so-DJ</t>
  </si>
  <si>
    <t>Somali (Djibouti)</t>
  </si>
  <si>
    <t>Soomaali (Jabuuti)</t>
  </si>
  <si>
    <t>so-ET</t>
  </si>
  <si>
    <t>Somali (Ethiopia)</t>
  </si>
  <si>
    <t>Soomaali (Itoobiya)</t>
  </si>
  <si>
    <t>so-KE</t>
  </si>
  <si>
    <t>Somali (Kenya)</t>
  </si>
  <si>
    <t>Soomaali (Kiiniya)</t>
  </si>
  <si>
    <t>so-SO</t>
  </si>
  <si>
    <t>Somali (Somalia)</t>
  </si>
  <si>
    <t>Soomaali (Soomaaliya)</t>
  </si>
  <si>
    <t>sq-AL</t>
  </si>
  <si>
    <t>Albanian (Albania)</t>
  </si>
  <si>
    <t>shqip (Shqipëria)</t>
  </si>
  <si>
    <t>sv-FI</t>
  </si>
  <si>
    <t>Swedish (Finland)</t>
  </si>
  <si>
    <t>svenska (Finland)</t>
  </si>
  <si>
    <t>sv-SE</t>
  </si>
  <si>
    <t>Swedish (Sweden)</t>
  </si>
  <si>
    <t>svenska (Sverige)</t>
  </si>
  <si>
    <t>sw-KE</t>
  </si>
  <si>
    <t>Swahili (Kenya)</t>
  </si>
  <si>
    <t>Kiswahili (Kenya)</t>
  </si>
  <si>
    <t>sw-TZ</t>
  </si>
  <si>
    <t>Swahili (Tanzania)</t>
  </si>
  <si>
    <t>Kiswahili (Tanzania)</t>
  </si>
  <si>
    <t>ta-IN</t>
  </si>
  <si>
    <t>Tamil (India)</t>
  </si>
  <si>
    <t>தமிழ் (இந்தியா)</t>
  </si>
  <si>
    <t>ta-LK</t>
  </si>
  <si>
    <t>Tamil (Sri Lanka)</t>
  </si>
  <si>
    <t>தமிழ் (இலங்கை)</t>
  </si>
  <si>
    <t>te-IN</t>
  </si>
  <si>
    <t>Telugu (India)</t>
  </si>
  <si>
    <t>తెలుగు (భారత దేశం)</t>
  </si>
  <si>
    <t>th-TH</t>
  </si>
  <si>
    <t>Thai (Thailand)</t>
  </si>
  <si>
    <t>ไทย (ไทย)</t>
  </si>
  <si>
    <t>ti-ER</t>
  </si>
  <si>
    <t>Tigrinya (Eritrea)</t>
  </si>
  <si>
    <t>ትግርኛ (ER)</t>
  </si>
  <si>
    <t>ti-ET</t>
  </si>
  <si>
    <t>Tigrinya (Ethiopia)</t>
  </si>
  <si>
    <t>ትግርኛ (ET)</t>
  </si>
  <si>
    <t>Tagalog</t>
  </si>
  <si>
    <t>to-TO</t>
  </si>
  <si>
    <t>Tongan (Tonga)</t>
  </si>
  <si>
    <t>lea fakatonga (Tonga)</t>
  </si>
  <si>
    <t>tr-TR</t>
  </si>
  <si>
    <t>Turkish (Turkey)</t>
  </si>
  <si>
    <t>Türkçe (Türkiye)</t>
  </si>
  <si>
    <t>uk-UA</t>
  </si>
  <si>
    <t>Ukrainian (Ukraine)</t>
  </si>
  <si>
    <t>українська (Україна)</t>
  </si>
  <si>
    <t>ur-IN</t>
  </si>
  <si>
    <t>Urdu (India)</t>
  </si>
  <si>
    <t>اردو (بھارت)</t>
  </si>
  <si>
    <t>ur-PK</t>
  </si>
  <si>
    <t>Urdu (Pakistan)</t>
  </si>
  <si>
    <t>اردو (پاکستان)</t>
  </si>
  <si>
    <t>vi-VN</t>
  </si>
  <si>
    <t>Vietnamese (Vietnam)</t>
  </si>
  <si>
    <t>Tiếng Việt (Việt Nam)</t>
  </si>
  <si>
    <t>yo-NG</t>
  </si>
  <si>
    <t>Yoruba (Nigeria)</t>
  </si>
  <si>
    <t>Èdè Yorùbá (Orílẹ́ède Nàìjíríà)</t>
  </si>
  <si>
    <t>zu-ZA</t>
  </si>
  <si>
    <t>Zulu (South Africa)</t>
  </si>
  <si>
    <t>isiZulu (iNingizimu Afrika)</t>
  </si>
  <si>
    <t>language_id</t>
  </si>
  <si>
    <t>Name</t>
  </si>
  <si>
    <t>Table</t>
  </si>
  <si>
    <t>#</t>
  </si>
  <si>
    <t>Language Families</t>
  </si>
  <si>
    <t>Language Scopes</t>
  </si>
  <si>
    <t>Language Types</t>
  </si>
  <si>
    <t>Language Scripts</t>
  </si>
  <si>
    <t>Languages</t>
  </si>
  <si>
    <t>Locales</t>
  </si>
  <si>
    <t>lang_families</t>
  </si>
  <si>
    <t>lang_scopes</t>
  </si>
  <si>
    <t>lang_scripts</t>
  </si>
  <si>
    <t>lang_types</t>
  </si>
  <si>
    <t>languages</t>
  </si>
  <si>
    <t>locales</t>
  </si>
  <si>
    <t>Data Catalogs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</si>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</sst>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/>
    </xf>
    <xf numFmtId="0" fontId="4" fillId="2" borderId="0" xfId="0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3" borderId="0" xfId="0" applyFont="1" applyFill="1" applyBorder="1"/>
    <xf numFmtId="0" fontId="0" fillId="4" borderId="0" xfId="0" applyFill="1" applyBorder="1"/>
    <xf numFmtId="0" fontId="0" fillId="5" borderId="0" xfId="0" applyFill="1" applyBorder="1"/>
    <xf numFmtId="0" fontId="3" fillId="6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0" fillId="2" borderId="0" xfId="0" applyFill="1" applyBorder="1" applyAlignment="1"/>
    <xf numFmtId="0" fontId="0" fillId="0" borderId="0" xfId="0" applyBorder="1"/>
    <xf numFmtId="0" fontId="3" fillId="6" borderId="0" xfId="0" applyFont="1" applyFill="1" applyBorder="1"/>
    <xf numFmtId="0" fontId="1" fillId="3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2" fillId="2" borderId="0" xfId="1" applyFill="1" applyBorder="1" applyAlignment="1">
      <alignment horizontal="center"/>
    </xf>
    <xf numFmtId="0" fontId="9" fillId="6" borderId="0" xfId="0" applyFont="1" applyFill="1" applyBorder="1" applyAlignment="1">
      <alignment horizontal="right" vertical="center"/>
    </xf>
    <xf numFmtId="0" fontId="9" fillId="6" borderId="0" xfId="1" applyFont="1" applyFill="1" applyBorder="1" applyAlignment="1">
      <alignment horizontal="right" vertical="center"/>
    </xf>
    <xf numFmtId="0" fontId="9" fillId="6" borderId="0" xfId="0" applyFont="1" applyFill="1" applyBorder="1" applyAlignment="1">
      <alignment horizontal="left" vertical="center"/>
    </xf>
    <xf numFmtId="0" fontId="6" fillId="6" borderId="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general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ugeek.github.io/blog/list.html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github.com/dyonmulya/data-catalog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209551</xdr:colOff>
      <xdr:row>1</xdr:row>
      <xdr:rowOff>6351</xdr:rowOff>
    </xdr:from>
    <xdr:to>
      <xdr:col>4</xdr:col>
      <xdr:colOff>425450</xdr:colOff>
      <xdr:row>1</xdr:row>
      <xdr:rowOff>222250</xdr:rowOff>
    </xdr:to>
    <xdr:pic>
      <xdr:nvPicPr>
        <xdr:cNvPr id="8" name="Pictur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970A48-A6DE-4A47-B63A-25A6E2375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2647951" y="190501"/>
          <a:ext cx="215899" cy="2158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820BD4-DA0F-46B5-A402-5B77018E8BA4}" name="lang_families" displayName="lang_families" ref="A1:D120" totalsRowCount="1">
  <autoFilter ref="A1:D119" xr:uid="{AD820BD4-DA0F-46B5-A402-5B77018E8BA4}"/>
  <tableColumns count="4">
    <tableColumn id="1" xr3:uid="{305A223B-E04E-4133-A9E4-AC23CC4DA860}" name="id" totalsRowLabel="Total"/>
    <tableColumn id="2" xr3:uid="{F28677AD-4E8E-4251-BFE6-2161428DC33F}" name="parent_id"/>
    <tableColumn id="3" xr3:uid="{13123164-DC0E-4C1C-A5B0-9EB3D80A4ACB}" name="iso_639_5"/>
    <tableColumn id="4" xr3:uid="{0F4D113F-1FAB-4D18-A52E-7E61274034AD}" name="name" totalsRowFunction="custom">
      <totalsRowFormula>SUBTOTAL(103,lang_families[id])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297784-E029-4B28-97B7-67929026C22C}" name="lang_scopes" displayName="lang_scopes" ref="A1:C5" totalsRowCount="1">
  <autoFilter ref="A1:C4" xr:uid="{29297784-E029-4B28-97B7-67929026C22C}"/>
  <tableColumns count="3">
    <tableColumn id="1" xr3:uid="{760BB418-62AF-4465-B09B-97AE8CD96C75}" name="id" totalsRowLabel="Total"/>
    <tableColumn id="2" xr3:uid="{78670548-B5E4-4F33-BEAC-BB15C42316B0}" name="name"/>
    <tableColumn id="3" xr3:uid="{501A62AE-3A7C-4EEC-BD3E-FA38A1BC1742}" name="description" totalsRowFunction="custom">
      <totalsRowFormula>SUBTOTAL(103,lang_scopes[id])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849266-8D1F-4B7D-BB80-B258F4162AD6}" name="lang_scripts" displayName="lang_scripts" ref="A1:E31" totalsRowCount="1">
  <autoFilter ref="A1:E30" xr:uid="{2E849266-8D1F-4B7D-BB80-B258F4162AD6}"/>
  <tableColumns count="5">
    <tableColumn id="1" xr3:uid="{4FD32B33-667A-44AD-A316-A34EAD7587B7}" name="id" totalsRowLabel="Total"/>
    <tableColumn id="2" xr3:uid="{064EAE80-321E-4AB9-AC29-8FAE0E499E92}" name="iso_15924_code"/>
    <tableColumn id="3" xr3:uid="{1DF9791A-F146-482F-8117-30222A82B101}" name="iso_15924_numeric"/>
    <tableColumn id="4" xr3:uid="{590FB266-68E0-462D-90ED-EC29B37BD6BF}" name="name"/>
    <tableColumn id="5" xr3:uid="{EE4835A1-224D-4800-8360-8078F7DD85F8}" name="direction" totalsRowFunction="custom">
      <totalsRowFormula>SUBTOTAL(103,lang_scripts[id])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3FA29E-F804-4486-B8F5-58CEFF34352A}" name="lang_types" displayName="lang_types" ref="A1:C8" totalsRowCount="1" headerRowDxfId="26" dataDxfId="24" totalsRowDxfId="25">
  <autoFilter ref="A1:C7" xr:uid="{8D3FA29E-F804-4486-B8F5-58CEFF34352A}"/>
  <tableColumns count="3">
    <tableColumn id="1" xr3:uid="{D2FF1F6F-D59B-4816-8418-66C59C2E2CF6}" name="id" totalsRowLabel="Total" dataDxfId="20" totalsRowDxfId="22"/>
    <tableColumn id="2" xr3:uid="{680DEE8E-775D-4FF7-BF54-762909D2B70E}" name="name" dataDxfId="21" totalsRowDxfId="28"/>
    <tableColumn id="3" xr3:uid="{B2C2A975-E156-4F44-98B3-FB83E4FA0FAF}" name="description" totalsRowFunction="count" dataDxfId="27" totalsRowDxfId="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C305DB-CC21-476F-8180-6FD26FA445D2}" name="languages" displayName="languages" ref="A1:K185" totalsRowCount="1">
  <autoFilter ref="A1:K184" xr:uid="{CEC305DB-CC21-476F-8180-6FD26FA445D2}"/>
  <sortState xmlns:xlrd2="http://schemas.microsoft.com/office/spreadsheetml/2017/richdata2" ref="A2:K184">
    <sortCondition ref="A1:A184"/>
  </sortState>
  <tableColumns count="11">
    <tableColumn id="1" xr3:uid="{BBC4CD06-287A-47C1-A713-C2AE6FB993AA}" name="id" totalsRowLabel="Total"/>
    <tableColumn id="2" xr3:uid="{CCA45153-1D9E-40E2-A41D-C934CA3E3AED}" name="iso_639_1"/>
    <tableColumn id="3" xr3:uid="{75623650-1407-44A0-AC41-DA8B94C3ADC0}" name="iso_639_2"/>
    <tableColumn id="4" xr3:uid="{3FDDD790-A35A-4CD1-B700-4F1567CC595D}" name="iso_639_3"/>
    <tableColumn id="5" xr3:uid="{10577345-E143-4117-94B9-5EDF45664D7D}" name="family_id"/>
    <tableColumn id="6" xr3:uid="{ED4A5E38-651F-40C4-BEEF-A9BEF4643944}" name="scope_id"/>
    <tableColumn id="7" xr3:uid="{8B22223C-5023-4757-9ABC-6ED17A806C88}" name="script_id"/>
    <tableColumn id="8" xr3:uid="{C4A635BB-B781-4A0A-A00C-0A29B8F954A6}" name="type_id"/>
    <tableColumn id="9" xr3:uid="{D1055A9D-6AB9-40C6-96E6-DF757B553F2B}" name="aname"/>
    <tableColumn id="10" xr3:uid="{D82063F1-9EF7-4B26-8EBE-C04EED6EEE08}" name="uname"/>
    <tableColumn id="11" xr3:uid="{C9DD9120-1B95-4472-8304-96A0F0CF94FF}" name="flag" totalsRowFunction="custom">
      <totalsRowFormula>SUBTOTAL(103,languages[id])</totalsRow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CA7257-FBCB-40D7-983E-19CF88EBA76A}" name="locales" displayName="locales" ref="A1:F415" totalsRowCount="1">
  <autoFilter ref="A1:F414" xr:uid="{71CA7257-FBCB-40D7-983E-19CF88EBA76A}"/>
  <tableColumns count="6">
    <tableColumn id="1" xr3:uid="{66A29DD0-B9C5-4676-8E32-DE54265A36AB}" name="id" totalsRowLabel="Total"/>
    <tableColumn id="2" xr3:uid="{AAE15D64-3F42-4153-8DA8-7EEB1FCDA034}" name="code"/>
    <tableColumn id="3" xr3:uid="{FC77239B-0CB2-4A8E-B472-058CE4981483}" name="aname"/>
    <tableColumn id="4" xr3:uid="{44EFE853-3D42-4313-B581-41F53377FA60}" name="uname"/>
    <tableColumn id="8" xr3:uid="{D4FD461C-A634-401F-8FCB-792E2B24E399}" name="language_id" dataDxfId="19"/>
    <tableColumn id="6" xr3:uid="{BE5EDA7A-1D5F-4B8E-BD85-52893C3AB968}" name="flag" totalsRowFunction="custom">
      <totalsRowFormula>SUBTOTAL(103,locales[id])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1844-DC78-4134-8EA3-B0A2D2C2A690}">
  <dimension ref="A1:F17"/>
  <sheetViews>
    <sheetView tabSelected="1" topLeftCell="A3" workbookViewId="0">
      <selection activeCell="G11" sqref="G11"/>
    </sheetView>
  </sheetViews>
  <sheetFormatPr defaultRowHeight="14.5" x14ac:dyDescent="0.35"/>
  <cols>
    <col min="1" max="1" width="5.453125" customWidth="1"/>
    <col min="2" max="2" width="1.81640625" bestFit="1" customWidth="1"/>
    <col min="3" max="3" width="15.90625" bestFit="1" customWidth="1"/>
    <col min="4" max="4" width="11.7265625" bestFit="1" customWidth="1"/>
    <col min="6" max="6" width="5.453125" customWidth="1"/>
  </cols>
  <sheetData>
    <row r="1" spans="1:6" x14ac:dyDescent="0.35">
      <c r="A1" s="15"/>
      <c r="B1" s="7"/>
      <c r="C1" s="7"/>
      <c r="D1" s="7"/>
      <c r="E1" s="7"/>
      <c r="F1" s="15"/>
    </row>
    <row r="2" spans="1:6" ht="18.5" x14ac:dyDescent="0.45">
      <c r="A2" s="19"/>
      <c r="B2" s="6" t="s">
        <v>1900</v>
      </c>
      <c r="C2" s="6"/>
      <c r="D2" s="6"/>
      <c r="E2" s="20"/>
      <c r="F2" s="19"/>
    </row>
    <row r="3" spans="1:6" x14ac:dyDescent="0.35">
      <c r="A3" s="15"/>
      <c r="B3" s="7"/>
      <c r="C3" s="7"/>
      <c r="D3" s="7"/>
      <c r="E3" s="7"/>
      <c r="F3" s="15"/>
    </row>
    <row r="4" spans="1:6" x14ac:dyDescent="0.35">
      <c r="A4" s="16"/>
      <c r="B4" s="8"/>
      <c r="C4" s="8"/>
      <c r="D4" s="8"/>
      <c r="E4" s="8"/>
      <c r="F4" s="16"/>
    </row>
    <row r="5" spans="1:6" x14ac:dyDescent="0.35">
      <c r="A5" s="8"/>
      <c r="B5" s="18" t="s">
        <v>1887</v>
      </c>
      <c r="C5" s="18" t="s">
        <v>1885</v>
      </c>
      <c r="D5" s="18" t="s">
        <v>1886</v>
      </c>
      <c r="E5" s="18" t="s">
        <v>240</v>
      </c>
      <c r="F5" s="8"/>
    </row>
    <row r="6" spans="1:6" x14ac:dyDescent="0.35">
      <c r="A6" s="8"/>
      <c r="B6" s="9">
        <v>1</v>
      </c>
      <c r="C6" s="10" t="s">
        <v>1888</v>
      </c>
      <c r="D6" s="10" t="s">
        <v>1894</v>
      </c>
      <c r="E6" s="10">
        <f>COUNT(lang_families[id])</f>
        <v>118</v>
      </c>
      <c r="F6" s="8"/>
    </row>
    <row r="7" spans="1:6" x14ac:dyDescent="0.35">
      <c r="A7" s="8"/>
      <c r="B7" s="9">
        <v>2</v>
      </c>
      <c r="C7" s="11" t="s">
        <v>1889</v>
      </c>
      <c r="D7" s="11" t="s">
        <v>1895</v>
      </c>
      <c r="E7" s="11">
        <f>COUNT(lang_scopes[id])</f>
        <v>3</v>
      </c>
      <c r="F7" s="8"/>
    </row>
    <row r="8" spans="1:6" x14ac:dyDescent="0.35">
      <c r="A8" s="8"/>
      <c r="B8" s="9">
        <v>3</v>
      </c>
      <c r="C8" s="10" t="s">
        <v>1891</v>
      </c>
      <c r="D8" s="10" t="s">
        <v>1896</v>
      </c>
      <c r="E8" s="10">
        <f>COUNT(lang_scripts[id])</f>
        <v>29</v>
      </c>
      <c r="F8" s="8"/>
    </row>
    <row r="9" spans="1:6" x14ac:dyDescent="0.35">
      <c r="A9" s="8"/>
      <c r="B9" s="9">
        <v>4</v>
      </c>
      <c r="C9" s="11" t="s">
        <v>1890</v>
      </c>
      <c r="D9" s="11" t="s">
        <v>1897</v>
      </c>
      <c r="E9" s="11">
        <f>COUNT(lang_types[id])</f>
        <v>6</v>
      </c>
      <c r="F9" s="8"/>
    </row>
    <row r="10" spans="1:6" x14ac:dyDescent="0.35">
      <c r="A10" s="8"/>
      <c r="B10" s="9">
        <v>5</v>
      </c>
      <c r="C10" s="10" t="s">
        <v>1892</v>
      </c>
      <c r="D10" s="10" t="s">
        <v>1898</v>
      </c>
      <c r="E10" s="10">
        <f>COUNT(languages[id])</f>
        <v>183</v>
      </c>
      <c r="F10" s="8"/>
    </row>
    <row r="11" spans="1:6" x14ac:dyDescent="0.35">
      <c r="A11" s="8"/>
      <c r="B11" s="9">
        <v>6</v>
      </c>
      <c r="C11" s="11" t="s">
        <v>1893</v>
      </c>
      <c r="D11" s="11" t="s">
        <v>1899</v>
      </c>
      <c r="E11" s="11">
        <f>COUNT(locales[id])</f>
        <v>413</v>
      </c>
      <c r="F11" s="8"/>
    </row>
    <row r="12" spans="1:6" x14ac:dyDescent="0.35">
      <c r="A12" s="16"/>
      <c r="B12" s="8"/>
      <c r="C12" s="8"/>
      <c r="D12" s="8"/>
      <c r="E12" s="8"/>
      <c r="F12" s="16"/>
    </row>
    <row r="13" spans="1:6" x14ac:dyDescent="0.35">
      <c r="A13" s="17"/>
      <c r="B13" s="12"/>
      <c r="C13" s="12"/>
      <c r="D13" s="12"/>
      <c r="E13" s="12"/>
      <c r="F13" s="17"/>
    </row>
    <row r="14" spans="1:6" x14ac:dyDescent="0.35">
      <c r="A14" s="17"/>
      <c r="B14" s="24" t="str">
        <f>IF(C14="Facebook",HYPERLINK("https://facebook.com/dyntarafamily","ⓕ"),IF(C14="Twitter/X",HYPERLINK("https://x.com/dyntarafamily","𝕏"),IF(C14="Instagram",HYPERLINK("https://instagram.com/dyntarafamily","🧿"),IF(C14="LinkedIn",HYPERLINK("https://linkedin.com/in/dyo-wiranata-mulya","[in]"),IF(C14="YouTube",HYPERLINK("https://www.youtube.com/@DyoWiranataMulya","▶️"),IF(C14="GitHub",HYPERLINK("https://github.com/dyonmulya","🐱"),""))))))</f>
        <v>ⓕ</v>
      </c>
      <c r="C14" s="23" t="s">
        <v>1901</v>
      </c>
      <c r="D14" s="22" t="str">
        <f>HYPERLINK("","📜 MIT License")</f>
        <v>📜 MIT License</v>
      </c>
      <c r="E14" s="21"/>
      <c r="F14" s="17"/>
    </row>
    <row r="15" spans="1:6" x14ac:dyDescent="0.35">
      <c r="A15" s="12"/>
      <c r="B15" s="13"/>
      <c r="C15" s="13"/>
      <c r="D15" s="13"/>
      <c r="E15" s="13"/>
      <c r="F15" s="12"/>
    </row>
    <row r="16" spans="1:6" x14ac:dyDescent="0.35">
      <c r="A16" s="12"/>
      <c r="B16" s="14" t="str">
        <f ca="1">"Copyright © "&amp;IF(YEAR(NOW())=2025,"2025","2025-"&amp;YEAR(NOW()))&amp;" "&amp;HYPERLINK("https://github.com/dyonmulya","Dyo Wiranata Mulya")</f>
        <v>Copyright © 2025 Dyo Wiranata Mulya</v>
      </c>
      <c r="C16" s="14"/>
      <c r="D16" s="14"/>
      <c r="E16" s="14"/>
      <c r="F16" s="12"/>
    </row>
    <row r="17" spans="1:6" x14ac:dyDescent="0.35">
      <c r="A17" s="17"/>
      <c r="B17" s="12"/>
      <c r="C17" s="12"/>
      <c r="D17" s="12"/>
      <c r="E17" s="12"/>
      <c r="F17" s="17"/>
    </row>
  </sheetData>
  <mergeCells count="14">
    <mergeCell ref="B13:E13"/>
    <mergeCell ref="F15:F16"/>
    <mergeCell ref="A15:A16"/>
    <mergeCell ref="F5:F11"/>
    <mergeCell ref="A5:A11"/>
    <mergeCell ref="D14:E14"/>
    <mergeCell ref="B17:E17"/>
    <mergeCell ref="B12:E12"/>
    <mergeCell ref="B1:E1"/>
    <mergeCell ref="B3:E3"/>
    <mergeCell ref="B4:E4"/>
    <mergeCell ref="B15:E15"/>
    <mergeCell ref="B16:E16"/>
    <mergeCell ref="B2:D2"/>
  </mergeCells>
  <dataValidations count="1">
    <dataValidation type="list" allowBlank="1" showInputMessage="1" showErrorMessage="1" sqref="C14" xr:uid="{12807679-BBD1-4012-8267-3FA36FDB9892}">
      <formula1>"Select Contact,Facebook,Twitter/X,Instagram,LinkedIn,YouTube,GitHub"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"/>
  <sheetViews>
    <sheetView workbookViewId="0">
      <selection activeCell="C1" sqref="C1"/>
    </sheetView>
  </sheetViews>
  <sheetFormatPr defaultRowHeight="14.5" x14ac:dyDescent="0.35"/>
  <cols>
    <col min="1" max="1" width="4.6328125" bestFit="1" customWidth="1"/>
    <col min="2" max="2" width="11.26953125" bestFit="1" customWidth="1"/>
    <col min="3" max="3" width="11.453125" bestFit="1" customWidth="1"/>
    <col min="4" max="4" width="33.36328125" bestFit="1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>
        <v>1</v>
      </c>
      <c r="C2" t="s">
        <v>4</v>
      </c>
      <c r="D2" t="s">
        <v>5</v>
      </c>
    </row>
    <row r="3" spans="1:4" x14ac:dyDescent="0.35">
      <c r="A3">
        <v>2</v>
      </c>
      <c r="C3" t="s">
        <v>6</v>
      </c>
      <c r="D3" t="s">
        <v>7</v>
      </c>
    </row>
    <row r="4" spans="1:4" x14ac:dyDescent="0.35">
      <c r="A4">
        <v>3</v>
      </c>
      <c r="C4" t="s">
        <v>8</v>
      </c>
      <c r="D4" t="s">
        <v>9</v>
      </c>
    </row>
    <row r="5" spans="1:4" x14ac:dyDescent="0.35">
      <c r="A5">
        <v>4</v>
      </c>
      <c r="C5" t="s">
        <v>10</v>
      </c>
      <c r="D5" t="s">
        <v>11</v>
      </c>
    </row>
    <row r="6" spans="1:4" x14ac:dyDescent="0.35">
      <c r="A6">
        <v>5</v>
      </c>
      <c r="C6" t="s">
        <v>12</v>
      </c>
      <c r="D6" t="s">
        <v>13</v>
      </c>
    </row>
    <row r="7" spans="1:4" x14ac:dyDescent="0.35">
      <c r="A7">
        <v>6</v>
      </c>
      <c r="C7" t="s">
        <v>14</v>
      </c>
      <c r="D7" t="s">
        <v>15</v>
      </c>
    </row>
    <row r="8" spans="1:4" x14ac:dyDescent="0.35">
      <c r="A8">
        <v>7</v>
      </c>
      <c r="C8" t="s">
        <v>16</v>
      </c>
      <c r="D8" t="s">
        <v>17</v>
      </c>
    </row>
    <row r="9" spans="1:4" x14ac:dyDescent="0.35">
      <c r="A9">
        <v>8</v>
      </c>
      <c r="C9" t="s">
        <v>18</v>
      </c>
      <c r="D9" t="s">
        <v>19</v>
      </c>
    </row>
    <row r="10" spans="1:4" x14ac:dyDescent="0.35">
      <c r="A10">
        <v>9</v>
      </c>
      <c r="C10" t="s">
        <v>20</v>
      </c>
      <c r="D10" t="s">
        <v>21</v>
      </c>
    </row>
    <row r="11" spans="1:4" x14ac:dyDescent="0.35">
      <c r="A11">
        <v>10</v>
      </c>
      <c r="C11" t="s">
        <v>22</v>
      </c>
      <c r="D11" t="s">
        <v>23</v>
      </c>
    </row>
    <row r="12" spans="1:4" x14ac:dyDescent="0.35">
      <c r="A12">
        <v>11</v>
      </c>
      <c r="C12" t="s">
        <v>24</v>
      </c>
      <c r="D12" t="s">
        <v>25</v>
      </c>
    </row>
    <row r="13" spans="1:4" x14ac:dyDescent="0.35">
      <c r="A13">
        <v>12</v>
      </c>
      <c r="C13" t="s">
        <v>26</v>
      </c>
      <c r="D13" t="s">
        <v>27</v>
      </c>
    </row>
    <row r="14" spans="1:4" x14ac:dyDescent="0.35">
      <c r="A14">
        <v>13</v>
      </c>
      <c r="C14" t="s">
        <v>28</v>
      </c>
      <c r="D14" t="s">
        <v>29</v>
      </c>
    </row>
    <row r="15" spans="1:4" x14ac:dyDescent="0.35">
      <c r="A15">
        <v>14</v>
      </c>
      <c r="C15" t="s">
        <v>30</v>
      </c>
      <c r="D15" t="s">
        <v>31</v>
      </c>
    </row>
    <row r="16" spans="1:4" x14ac:dyDescent="0.35">
      <c r="A16">
        <v>15</v>
      </c>
      <c r="C16" t="s">
        <v>32</v>
      </c>
      <c r="D16" t="s">
        <v>33</v>
      </c>
    </row>
    <row r="17" spans="1:4" x14ac:dyDescent="0.35">
      <c r="A17">
        <v>16</v>
      </c>
      <c r="C17" t="s">
        <v>34</v>
      </c>
      <c r="D17" t="s">
        <v>35</v>
      </c>
    </row>
    <row r="18" spans="1:4" x14ac:dyDescent="0.35">
      <c r="A18">
        <v>17</v>
      </c>
      <c r="C18" t="s">
        <v>36</v>
      </c>
      <c r="D18" t="s">
        <v>37</v>
      </c>
    </row>
    <row r="19" spans="1:4" x14ac:dyDescent="0.35">
      <c r="A19">
        <v>18</v>
      </c>
      <c r="C19" t="s">
        <v>38</v>
      </c>
      <c r="D19" t="s">
        <v>39</v>
      </c>
    </row>
    <row r="20" spans="1:4" x14ac:dyDescent="0.35">
      <c r="A20">
        <v>19</v>
      </c>
      <c r="C20" t="s">
        <v>40</v>
      </c>
      <c r="D20" t="s">
        <v>41</v>
      </c>
    </row>
    <row r="21" spans="1:4" x14ac:dyDescent="0.35">
      <c r="A21">
        <v>20</v>
      </c>
      <c r="C21" t="s">
        <v>42</v>
      </c>
      <c r="D21" t="s">
        <v>43</v>
      </c>
    </row>
    <row r="22" spans="1:4" x14ac:dyDescent="0.35">
      <c r="A22">
        <v>21</v>
      </c>
      <c r="C22" t="s">
        <v>44</v>
      </c>
      <c r="D22" t="s">
        <v>45</v>
      </c>
    </row>
    <row r="23" spans="1:4" x14ac:dyDescent="0.35">
      <c r="A23">
        <v>22</v>
      </c>
      <c r="C23" t="s">
        <v>46</v>
      </c>
      <c r="D23" t="s">
        <v>47</v>
      </c>
    </row>
    <row r="24" spans="1:4" x14ac:dyDescent="0.35">
      <c r="A24">
        <v>23</v>
      </c>
      <c r="C24" t="s">
        <v>48</v>
      </c>
      <c r="D24" t="s">
        <v>49</v>
      </c>
    </row>
    <row r="25" spans="1:4" x14ac:dyDescent="0.35">
      <c r="A25">
        <v>24</v>
      </c>
      <c r="C25" t="s">
        <v>50</v>
      </c>
      <c r="D25" t="s">
        <v>51</v>
      </c>
    </row>
    <row r="26" spans="1:4" x14ac:dyDescent="0.35">
      <c r="A26">
        <v>25</v>
      </c>
      <c r="C26" t="s">
        <v>52</v>
      </c>
      <c r="D26" t="s">
        <v>53</v>
      </c>
    </row>
    <row r="27" spans="1:4" x14ac:dyDescent="0.35">
      <c r="A27">
        <v>26</v>
      </c>
      <c r="C27" t="s">
        <v>54</v>
      </c>
      <c r="D27" t="s">
        <v>55</v>
      </c>
    </row>
    <row r="28" spans="1:4" x14ac:dyDescent="0.35">
      <c r="A28">
        <v>27</v>
      </c>
      <c r="C28" t="s">
        <v>56</v>
      </c>
      <c r="D28" t="s">
        <v>57</v>
      </c>
    </row>
    <row r="29" spans="1:4" x14ac:dyDescent="0.35">
      <c r="A29">
        <v>28</v>
      </c>
      <c r="C29" t="s">
        <v>58</v>
      </c>
      <c r="D29" t="s">
        <v>59</v>
      </c>
    </row>
    <row r="30" spans="1:4" x14ac:dyDescent="0.35">
      <c r="A30">
        <v>29</v>
      </c>
      <c r="C30" t="s">
        <v>60</v>
      </c>
      <c r="D30" t="s">
        <v>61</v>
      </c>
    </row>
    <row r="31" spans="1:4" x14ac:dyDescent="0.35">
      <c r="A31">
        <v>30</v>
      </c>
      <c r="B31">
        <f>A19</f>
        <v>18</v>
      </c>
      <c r="C31" t="s">
        <v>62</v>
      </c>
      <c r="D31" t="s">
        <v>63</v>
      </c>
    </row>
    <row r="32" spans="1:4" x14ac:dyDescent="0.35">
      <c r="A32">
        <v>31</v>
      </c>
      <c r="B32">
        <f>A21</f>
        <v>20</v>
      </c>
      <c r="C32" t="s">
        <v>64</v>
      </c>
      <c r="D32" t="s">
        <v>65</v>
      </c>
    </row>
    <row r="33" spans="1:4" x14ac:dyDescent="0.35">
      <c r="A33">
        <v>32</v>
      </c>
      <c r="B33">
        <f>A18</f>
        <v>17</v>
      </c>
      <c r="C33" t="s">
        <v>66</v>
      </c>
      <c r="D33" t="s">
        <v>67</v>
      </c>
    </row>
    <row r="34" spans="1:4" x14ac:dyDescent="0.35">
      <c r="A34">
        <v>33</v>
      </c>
      <c r="B34">
        <f>A21</f>
        <v>20</v>
      </c>
      <c r="C34" t="s">
        <v>68</v>
      </c>
      <c r="D34" t="s">
        <v>69</v>
      </c>
    </row>
    <row r="35" spans="1:4" x14ac:dyDescent="0.35">
      <c r="A35">
        <v>34</v>
      </c>
      <c r="B35">
        <f>A18</f>
        <v>17</v>
      </c>
      <c r="C35" t="s">
        <v>70</v>
      </c>
      <c r="D35" t="s">
        <v>71</v>
      </c>
    </row>
    <row r="36" spans="1:4" x14ac:dyDescent="0.35">
      <c r="A36">
        <v>35</v>
      </c>
      <c r="B36">
        <f>A14</f>
        <v>13</v>
      </c>
      <c r="C36" t="s">
        <v>72</v>
      </c>
      <c r="D36" t="s">
        <v>73</v>
      </c>
    </row>
    <row r="37" spans="1:4" x14ac:dyDescent="0.35">
      <c r="A37">
        <v>36</v>
      </c>
      <c r="B37">
        <f>A3</f>
        <v>2</v>
      </c>
      <c r="C37" t="s">
        <v>74</v>
      </c>
      <c r="D37" t="s">
        <v>75</v>
      </c>
    </row>
    <row r="38" spans="1:4" x14ac:dyDescent="0.35">
      <c r="A38">
        <v>37</v>
      </c>
      <c r="B38">
        <f>A21</f>
        <v>20</v>
      </c>
      <c r="C38" t="s">
        <v>76</v>
      </c>
      <c r="D38" t="s">
        <v>77</v>
      </c>
    </row>
    <row r="39" spans="1:4" x14ac:dyDescent="0.35">
      <c r="A39">
        <v>38</v>
      </c>
      <c r="B39">
        <f>A7</f>
        <v>6</v>
      </c>
      <c r="C39" t="s">
        <v>78</v>
      </c>
      <c r="D39" t="s">
        <v>79</v>
      </c>
    </row>
    <row r="40" spans="1:4" x14ac:dyDescent="0.35">
      <c r="A40">
        <v>39</v>
      </c>
      <c r="B40">
        <f>A7</f>
        <v>6</v>
      </c>
      <c r="C40" t="s">
        <v>80</v>
      </c>
      <c r="D40" t="s">
        <v>81</v>
      </c>
    </row>
    <row r="41" spans="1:4" x14ac:dyDescent="0.35">
      <c r="A41">
        <v>40</v>
      </c>
      <c r="B41">
        <f>A3</f>
        <v>2</v>
      </c>
      <c r="C41" t="s">
        <v>82</v>
      </c>
      <c r="D41" t="s">
        <v>83</v>
      </c>
    </row>
    <row r="42" spans="1:4" x14ac:dyDescent="0.35">
      <c r="A42">
        <v>41</v>
      </c>
      <c r="B42">
        <f>A18</f>
        <v>17</v>
      </c>
      <c r="C42" t="s">
        <v>84</v>
      </c>
      <c r="D42" t="s">
        <v>85</v>
      </c>
    </row>
    <row r="43" spans="1:4" x14ac:dyDescent="0.35">
      <c r="A43">
        <v>42</v>
      </c>
      <c r="B43">
        <f>A14</f>
        <v>13</v>
      </c>
      <c r="C43" t="s">
        <v>86</v>
      </c>
      <c r="D43" t="s">
        <v>87</v>
      </c>
    </row>
    <row r="44" spans="1:4" x14ac:dyDescent="0.35">
      <c r="A44">
        <v>43</v>
      </c>
      <c r="B44">
        <f>A8</f>
        <v>7</v>
      </c>
      <c r="C44" t="s">
        <v>88</v>
      </c>
      <c r="D44" t="s">
        <v>89</v>
      </c>
    </row>
    <row r="45" spans="1:4" x14ac:dyDescent="0.35">
      <c r="A45">
        <v>44</v>
      </c>
      <c r="B45">
        <f>A8</f>
        <v>7</v>
      </c>
      <c r="C45" t="s">
        <v>90</v>
      </c>
      <c r="D45" t="s">
        <v>91</v>
      </c>
    </row>
    <row r="46" spans="1:4" x14ac:dyDescent="0.35">
      <c r="A46">
        <v>45</v>
      </c>
      <c r="B46">
        <f>A8</f>
        <v>7</v>
      </c>
      <c r="C46" t="s">
        <v>92</v>
      </c>
      <c r="D46" t="s">
        <v>93</v>
      </c>
    </row>
    <row r="47" spans="1:4" x14ac:dyDescent="0.35">
      <c r="A47">
        <v>46</v>
      </c>
      <c r="B47">
        <f>A24</f>
        <v>23</v>
      </c>
      <c r="C47" t="s">
        <v>94</v>
      </c>
      <c r="D47" t="s">
        <v>95</v>
      </c>
    </row>
    <row r="48" spans="1:4" x14ac:dyDescent="0.35">
      <c r="A48">
        <v>47</v>
      </c>
      <c r="B48">
        <f>A3</f>
        <v>2</v>
      </c>
      <c r="C48" t="s">
        <v>96</v>
      </c>
      <c r="D48" t="s">
        <v>97</v>
      </c>
    </row>
    <row r="49" spans="1:4" x14ac:dyDescent="0.35">
      <c r="A49">
        <v>48</v>
      </c>
      <c r="B49">
        <f>A19</f>
        <v>18</v>
      </c>
      <c r="C49" t="s">
        <v>98</v>
      </c>
      <c r="D49" t="s">
        <v>99</v>
      </c>
    </row>
    <row r="50" spans="1:4" x14ac:dyDescent="0.35">
      <c r="A50">
        <v>49</v>
      </c>
      <c r="B50">
        <f>A3</f>
        <v>2</v>
      </c>
      <c r="C50" t="s">
        <v>100</v>
      </c>
      <c r="D50" t="s">
        <v>101</v>
      </c>
    </row>
    <row r="51" spans="1:4" x14ac:dyDescent="0.35">
      <c r="A51">
        <v>50</v>
      </c>
      <c r="B51">
        <f>A27</f>
        <v>26</v>
      </c>
      <c r="C51" t="s">
        <v>102</v>
      </c>
      <c r="D51" t="s">
        <v>103</v>
      </c>
    </row>
    <row r="52" spans="1:4" x14ac:dyDescent="0.35">
      <c r="A52">
        <v>51</v>
      </c>
      <c r="B52">
        <f>A17</f>
        <v>16</v>
      </c>
      <c r="C52" t="s">
        <v>104</v>
      </c>
      <c r="D52" t="s">
        <v>105</v>
      </c>
    </row>
    <row r="53" spans="1:4" x14ac:dyDescent="0.35">
      <c r="A53">
        <v>52</v>
      </c>
      <c r="B53">
        <f>A14</f>
        <v>13</v>
      </c>
      <c r="C53" t="s">
        <v>106</v>
      </c>
      <c r="D53" t="s">
        <v>107</v>
      </c>
    </row>
    <row r="54" spans="1:4" x14ac:dyDescent="0.35">
      <c r="A54">
        <v>53</v>
      </c>
      <c r="B54">
        <f>A14</f>
        <v>13</v>
      </c>
      <c r="C54" t="s">
        <v>108</v>
      </c>
      <c r="D54" t="s">
        <v>109</v>
      </c>
    </row>
    <row r="55" spans="1:4" x14ac:dyDescent="0.35">
      <c r="A55">
        <v>54</v>
      </c>
      <c r="B55">
        <f>A18</f>
        <v>17</v>
      </c>
      <c r="C55" t="s">
        <v>110</v>
      </c>
      <c r="D55" t="s">
        <v>111</v>
      </c>
    </row>
    <row r="56" spans="1:4" x14ac:dyDescent="0.35">
      <c r="A56">
        <v>55</v>
      </c>
      <c r="B56">
        <f>A14</f>
        <v>13</v>
      </c>
      <c r="C56" t="s">
        <v>112</v>
      </c>
      <c r="D56" t="s">
        <v>113</v>
      </c>
    </row>
    <row r="57" spans="1:4" x14ac:dyDescent="0.35">
      <c r="A57">
        <v>56</v>
      </c>
      <c r="B57">
        <f>A14</f>
        <v>13</v>
      </c>
      <c r="C57" t="s">
        <v>114</v>
      </c>
      <c r="D57" t="s">
        <v>115</v>
      </c>
    </row>
    <row r="58" spans="1:4" x14ac:dyDescent="0.35">
      <c r="A58">
        <v>57</v>
      </c>
      <c r="B58">
        <f>A18</f>
        <v>17</v>
      </c>
      <c r="C58" t="s">
        <v>116</v>
      </c>
      <c r="D58" t="s">
        <v>117</v>
      </c>
    </row>
    <row r="59" spans="1:4" x14ac:dyDescent="0.35">
      <c r="A59">
        <v>58</v>
      </c>
      <c r="B59">
        <f>A14</f>
        <v>13</v>
      </c>
      <c r="C59" t="s">
        <v>118</v>
      </c>
      <c r="D59" t="s">
        <v>119</v>
      </c>
    </row>
    <row r="60" spans="1:4" x14ac:dyDescent="0.35">
      <c r="A60">
        <v>59</v>
      </c>
      <c r="B60">
        <f>A19</f>
        <v>18</v>
      </c>
      <c r="C60" t="s">
        <v>120</v>
      </c>
      <c r="D60" t="s">
        <v>121</v>
      </c>
    </row>
    <row r="61" spans="1:4" x14ac:dyDescent="0.35">
      <c r="A61">
        <v>60</v>
      </c>
      <c r="B61">
        <f>A2</f>
        <v>1</v>
      </c>
      <c r="C61" t="s">
        <v>122</v>
      </c>
      <c r="D61" t="s">
        <v>123</v>
      </c>
    </row>
    <row r="62" spans="1:4" x14ac:dyDescent="0.35">
      <c r="A62">
        <v>61</v>
      </c>
      <c r="B62">
        <f>A2</f>
        <v>1</v>
      </c>
      <c r="C62" t="s">
        <v>124</v>
      </c>
      <c r="D62" t="s">
        <v>125</v>
      </c>
    </row>
    <row r="63" spans="1:4" x14ac:dyDescent="0.35">
      <c r="A63">
        <v>62</v>
      </c>
      <c r="B63">
        <f>A6</f>
        <v>5</v>
      </c>
      <c r="C63" t="s">
        <v>126</v>
      </c>
      <c r="D63" t="s">
        <v>127</v>
      </c>
    </row>
    <row r="64" spans="1:4" x14ac:dyDescent="0.35">
      <c r="A64">
        <v>63</v>
      </c>
      <c r="B64">
        <f>A20</f>
        <v>19</v>
      </c>
      <c r="C64" t="s">
        <v>128</v>
      </c>
      <c r="D64" t="s">
        <v>129</v>
      </c>
    </row>
    <row r="65" spans="1:4" x14ac:dyDescent="0.35">
      <c r="A65">
        <v>64</v>
      </c>
      <c r="B65">
        <f>A6</f>
        <v>5</v>
      </c>
      <c r="C65" t="s">
        <v>130</v>
      </c>
      <c r="D65" t="s">
        <v>131</v>
      </c>
    </row>
    <row r="66" spans="1:4" x14ac:dyDescent="0.35">
      <c r="A66">
        <v>65</v>
      </c>
      <c r="B66">
        <f>A3</f>
        <v>2</v>
      </c>
      <c r="C66" t="s">
        <v>132</v>
      </c>
      <c r="D66" t="s">
        <v>133</v>
      </c>
    </row>
    <row r="67" spans="1:4" x14ac:dyDescent="0.35">
      <c r="A67">
        <v>66</v>
      </c>
      <c r="B67">
        <f>A17</f>
        <v>16</v>
      </c>
      <c r="C67" t="s">
        <v>134</v>
      </c>
      <c r="D67" t="s">
        <v>135</v>
      </c>
    </row>
    <row r="68" spans="1:4" x14ac:dyDescent="0.35">
      <c r="A68">
        <v>67</v>
      </c>
      <c r="B68">
        <f>A21</f>
        <v>20</v>
      </c>
      <c r="C68" t="s">
        <v>136</v>
      </c>
      <c r="D68" t="s">
        <v>137</v>
      </c>
    </row>
    <row r="69" spans="1:4" x14ac:dyDescent="0.35">
      <c r="A69">
        <v>68</v>
      </c>
      <c r="B69">
        <f>A18</f>
        <v>17</v>
      </c>
      <c r="C69" t="s">
        <v>138</v>
      </c>
      <c r="D69" t="s">
        <v>139</v>
      </c>
    </row>
    <row r="70" spans="1:4" x14ac:dyDescent="0.35">
      <c r="A70">
        <v>69</v>
      </c>
      <c r="B70">
        <f>A24</f>
        <v>23</v>
      </c>
      <c r="C70" t="s">
        <v>140</v>
      </c>
      <c r="D70" t="s">
        <v>141</v>
      </c>
    </row>
    <row r="71" spans="1:4" x14ac:dyDescent="0.35">
      <c r="A71">
        <v>70</v>
      </c>
      <c r="B71">
        <f>A3</f>
        <v>2</v>
      </c>
      <c r="C71" t="s">
        <v>142</v>
      </c>
      <c r="D71" t="s">
        <v>143</v>
      </c>
    </row>
    <row r="72" spans="1:4" x14ac:dyDescent="0.35">
      <c r="A72">
        <v>71</v>
      </c>
      <c r="B72">
        <f>A18</f>
        <v>17</v>
      </c>
      <c r="C72" t="s">
        <v>144</v>
      </c>
      <c r="D72" t="s">
        <v>145</v>
      </c>
    </row>
    <row r="73" spans="1:4" x14ac:dyDescent="0.35">
      <c r="A73">
        <v>72</v>
      </c>
      <c r="B73">
        <f>A14</f>
        <v>13</v>
      </c>
      <c r="C73" t="s">
        <v>146</v>
      </c>
      <c r="D73" t="s">
        <v>147</v>
      </c>
    </row>
    <row r="74" spans="1:4" x14ac:dyDescent="0.35">
      <c r="A74">
        <v>73</v>
      </c>
      <c r="B74">
        <f>A24</f>
        <v>23</v>
      </c>
      <c r="C74" t="s">
        <v>148</v>
      </c>
      <c r="D74" t="s">
        <v>149</v>
      </c>
    </row>
    <row r="75" spans="1:4" x14ac:dyDescent="0.35">
      <c r="A75">
        <v>74</v>
      </c>
      <c r="B75">
        <f>A14</f>
        <v>13</v>
      </c>
      <c r="C75" t="s">
        <v>150</v>
      </c>
      <c r="D75" t="s">
        <v>151</v>
      </c>
    </row>
    <row r="76" spans="1:4" x14ac:dyDescent="0.35">
      <c r="A76">
        <v>75</v>
      </c>
      <c r="B76">
        <f>A27</f>
        <v>26</v>
      </c>
      <c r="C76" t="s">
        <v>152</v>
      </c>
      <c r="D76" t="s">
        <v>153</v>
      </c>
    </row>
    <row r="77" spans="1:4" x14ac:dyDescent="0.35">
      <c r="A77">
        <v>76</v>
      </c>
      <c r="B77">
        <f>A23</f>
        <v>22</v>
      </c>
      <c r="C77" t="s">
        <v>154</v>
      </c>
      <c r="D77" t="s">
        <v>155</v>
      </c>
    </row>
    <row r="78" spans="1:4" x14ac:dyDescent="0.35">
      <c r="A78">
        <v>77</v>
      </c>
      <c r="B78">
        <f>A26</f>
        <v>25</v>
      </c>
      <c r="C78" t="s">
        <v>156</v>
      </c>
      <c r="D78" t="s">
        <v>157</v>
      </c>
    </row>
    <row r="79" spans="1:4" x14ac:dyDescent="0.35">
      <c r="A79">
        <v>78</v>
      </c>
      <c r="B79">
        <f>A21</f>
        <v>20</v>
      </c>
      <c r="C79" t="s">
        <v>158</v>
      </c>
      <c r="D79" t="s">
        <v>159</v>
      </c>
    </row>
    <row r="80" spans="1:4" x14ac:dyDescent="0.35">
      <c r="A80">
        <v>79</v>
      </c>
      <c r="B80">
        <f>A26</f>
        <v>25</v>
      </c>
      <c r="C80" t="s">
        <v>160</v>
      </c>
      <c r="D80" t="s">
        <v>161</v>
      </c>
    </row>
    <row r="81" spans="1:4" x14ac:dyDescent="0.35">
      <c r="A81">
        <v>80</v>
      </c>
      <c r="B81">
        <f>A18</f>
        <v>17</v>
      </c>
      <c r="C81" t="s">
        <v>162</v>
      </c>
      <c r="D81" t="s">
        <v>163</v>
      </c>
    </row>
    <row r="82" spans="1:4" x14ac:dyDescent="0.35">
      <c r="A82">
        <v>81</v>
      </c>
      <c r="B82">
        <f>A26</f>
        <v>25</v>
      </c>
      <c r="C82" t="s">
        <v>164</v>
      </c>
      <c r="D82" t="s">
        <v>165</v>
      </c>
    </row>
    <row r="83" spans="1:4" x14ac:dyDescent="0.35">
      <c r="A83">
        <v>82</v>
      </c>
      <c r="B83">
        <f>A18</f>
        <v>17</v>
      </c>
      <c r="C83" t="s">
        <v>166</v>
      </c>
      <c r="D83" t="s">
        <v>167</v>
      </c>
    </row>
    <row r="84" spans="1:4" x14ac:dyDescent="0.35">
      <c r="A84">
        <v>83</v>
      </c>
      <c r="B84">
        <f>A11</f>
        <v>10</v>
      </c>
      <c r="C84" t="s">
        <v>168</v>
      </c>
      <c r="D84" t="s">
        <v>169</v>
      </c>
    </row>
    <row r="85" spans="1:4" x14ac:dyDescent="0.35">
      <c r="A85">
        <v>84</v>
      </c>
      <c r="B85">
        <f>A23</f>
        <v>22</v>
      </c>
      <c r="C85" t="s">
        <v>170</v>
      </c>
      <c r="D85" t="s">
        <v>171</v>
      </c>
    </row>
    <row r="86" spans="1:4" x14ac:dyDescent="0.35">
      <c r="A86">
        <v>85</v>
      </c>
      <c r="B86">
        <f>A33</f>
        <v>32</v>
      </c>
      <c r="C86" t="s">
        <v>172</v>
      </c>
      <c r="D86" t="s">
        <v>173</v>
      </c>
    </row>
    <row r="87" spans="1:4" x14ac:dyDescent="0.35">
      <c r="A87">
        <v>86</v>
      </c>
      <c r="B87">
        <f>A83</f>
        <v>82</v>
      </c>
      <c r="C87" t="s">
        <v>174</v>
      </c>
      <c r="D87" t="s">
        <v>175</v>
      </c>
    </row>
    <row r="88" spans="1:4" x14ac:dyDescent="0.35">
      <c r="A88">
        <v>87</v>
      </c>
      <c r="B88">
        <f>A34</f>
        <v>33</v>
      </c>
      <c r="C88" t="s">
        <v>176</v>
      </c>
      <c r="D88" t="s">
        <v>177</v>
      </c>
    </row>
    <row r="89" spans="1:4" x14ac:dyDescent="0.35">
      <c r="A89">
        <v>88</v>
      </c>
      <c r="B89">
        <f>A31</f>
        <v>30</v>
      </c>
      <c r="C89" t="s">
        <v>178</v>
      </c>
      <c r="D89" t="s">
        <v>179</v>
      </c>
    </row>
    <row r="90" spans="1:4" x14ac:dyDescent="0.35">
      <c r="A90">
        <v>89</v>
      </c>
      <c r="B90">
        <f>A31</f>
        <v>30</v>
      </c>
      <c r="C90" t="s">
        <v>180</v>
      </c>
      <c r="D90" t="s">
        <v>181</v>
      </c>
    </row>
    <row r="91" spans="1:4" x14ac:dyDescent="0.35">
      <c r="A91">
        <v>90</v>
      </c>
      <c r="B91">
        <f>A57</f>
        <v>56</v>
      </c>
      <c r="C91" t="s">
        <v>182</v>
      </c>
      <c r="D91" t="s">
        <v>183</v>
      </c>
    </row>
    <row r="92" spans="1:4" x14ac:dyDescent="0.35">
      <c r="A92">
        <v>91</v>
      </c>
      <c r="B92">
        <f>A31</f>
        <v>30</v>
      </c>
      <c r="C92" t="s">
        <v>184</v>
      </c>
      <c r="D92" t="s">
        <v>185</v>
      </c>
    </row>
    <row r="93" spans="1:4" x14ac:dyDescent="0.35">
      <c r="A93">
        <v>92</v>
      </c>
      <c r="B93">
        <f>A53</f>
        <v>52</v>
      </c>
      <c r="C93" t="s">
        <v>186</v>
      </c>
      <c r="D93" t="s">
        <v>187</v>
      </c>
    </row>
    <row r="94" spans="1:4" x14ac:dyDescent="0.35">
      <c r="A94">
        <v>93</v>
      </c>
      <c r="B94">
        <f>A53</f>
        <v>52</v>
      </c>
      <c r="C94" t="s">
        <v>188</v>
      </c>
      <c r="D94" t="s">
        <v>189</v>
      </c>
    </row>
    <row r="95" spans="1:4" x14ac:dyDescent="0.35">
      <c r="A95">
        <v>94</v>
      </c>
      <c r="B95">
        <f>A53</f>
        <v>52</v>
      </c>
      <c r="C95" t="s">
        <v>190</v>
      </c>
      <c r="D95" t="s">
        <v>191</v>
      </c>
    </row>
    <row r="96" spans="1:4" x14ac:dyDescent="0.35">
      <c r="A96">
        <v>95</v>
      </c>
      <c r="B96">
        <f>A31</f>
        <v>30</v>
      </c>
      <c r="C96" t="s">
        <v>192</v>
      </c>
      <c r="D96" t="s">
        <v>193</v>
      </c>
    </row>
    <row r="97" spans="1:4" x14ac:dyDescent="0.35">
      <c r="A97">
        <v>96</v>
      </c>
      <c r="B97">
        <f>A57</f>
        <v>56</v>
      </c>
      <c r="C97" t="s">
        <v>194</v>
      </c>
      <c r="D97" t="s">
        <v>195</v>
      </c>
    </row>
    <row r="98" spans="1:4" x14ac:dyDescent="0.35">
      <c r="A98">
        <v>97</v>
      </c>
      <c r="B98">
        <f>A57</f>
        <v>56</v>
      </c>
      <c r="C98" t="s">
        <v>196</v>
      </c>
      <c r="D98" t="s">
        <v>197</v>
      </c>
    </row>
    <row r="99" spans="1:4" x14ac:dyDescent="0.35">
      <c r="A99">
        <v>98</v>
      </c>
      <c r="B99">
        <f>A77</f>
        <v>76</v>
      </c>
      <c r="C99" t="s">
        <v>198</v>
      </c>
      <c r="D99" t="s">
        <v>199</v>
      </c>
    </row>
    <row r="100" spans="1:4" x14ac:dyDescent="0.35">
      <c r="A100">
        <v>99</v>
      </c>
      <c r="B100">
        <f>A31</f>
        <v>30</v>
      </c>
      <c r="C100" t="s">
        <v>200</v>
      </c>
      <c r="D100" t="s">
        <v>201</v>
      </c>
    </row>
    <row r="101" spans="1:4" x14ac:dyDescent="0.35">
      <c r="A101">
        <v>100</v>
      </c>
      <c r="B101">
        <f>A35</f>
        <v>34</v>
      </c>
      <c r="C101" t="s">
        <v>202</v>
      </c>
      <c r="D101" t="s">
        <v>203</v>
      </c>
    </row>
    <row r="102" spans="1:4" x14ac:dyDescent="0.35">
      <c r="A102">
        <v>101</v>
      </c>
      <c r="B102">
        <f>A70</f>
        <v>69</v>
      </c>
      <c r="C102" t="s">
        <v>204</v>
      </c>
      <c r="D102" t="s">
        <v>205</v>
      </c>
    </row>
    <row r="103" spans="1:4" x14ac:dyDescent="0.35">
      <c r="A103">
        <v>102</v>
      </c>
      <c r="B103">
        <f>A65</f>
        <v>64</v>
      </c>
      <c r="C103" t="s">
        <v>206</v>
      </c>
      <c r="D103" t="s">
        <v>207</v>
      </c>
    </row>
    <row r="104" spans="1:4" x14ac:dyDescent="0.35">
      <c r="A104">
        <v>103</v>
      </c>
      <c r="B104">
        <f>A67</f>
        <v>66</v>
      </c>
      <c r="C104" t="s">
        <v>208</v>
      </c>
      <c r="D104" t="s">
        <v>209</v>
      </c>
    </row>
    <row r="105" spans="1:4" x14ac:dyDescent="0.35">
      <c r="A105">
        <v>104</v>
      </c>
      <c r="B105">
        <f>A67</f>
        <v>66</v>
      </c>
      <c r="C105" t="s">
        <v>210</v>
      </c>
      <c r="D105" t="s">
        <v>211</v>
      </c>
    </row>
    <row r="106" spans="1:4" x14ac:dyDescent="0.35">
      <c r="A106">
        <v>105</v>
      </c>
      <c r="B106">
        <f>A67</f>
        <v>66</v>
      </c>
      <c r="C106" t="s">
        <v>212</v>
      </c>
      <c r="D106" t="s">
        <v>213</v>
      </c>
    </row>
    <row r="107" spans="1:4" x14ac:dyDescent="0.35">
      <c r="A107">
        <v>106</v>
      </c>
      <c r="B107">
        <f>A59</f>
        <v>58</v>
      </c>
      <c r="C107" t="s">
        <v>214</v>
      </c>
      <c r="D107" t="s">
        <v>215</v>
      </c>
    </row>
    <row r="108" spans="1:4" x14ac:dyDescent="0.35">
      <c r="A108">
        <v>107</v>
      </c>
      <c r="B108">
        <f>A51</f>
        <v>50</v>
      </c>
      <c r="C108" t="s">
        <v>216</v>
      </c>
      <c r="D108" t="s">
        <v>217</v>
      </c>
    </row>
    <row r="109" spans="1:4" x14ac:dyDescent="0.35">
      <c r="A109">
        <v>108</v>
      </c>
      <c r="B109">
        <f>A73</f>
        <v>72</v>
      </c>
      <c r="C109" t="s">
        <v>218</v>
      </c>
      <c r="D109" t="s">
        <v>219</v>
      </c>
    </row>
    <row r="110" spans="1:4" x14ac:dyDescent="0.35">
      <c r="A110">
        <v>109</v>
      </c>
      <c r="B110">
        <f>A73</f>
        <v>72</v>
      </c>
      <c r="C110" t="s">
        <v>220</v>
      </c>
      <c r="D110" t="s">
        <v>221</v>
      </c>
    </row>
    <row r="111" spans="1:4" x14ac:dyDescent="0.35">
      <c r="A111">
        <v>110</v>
      </c>
      <c r="B111">
        <f>A73</f>
        <v>72</v>
      </c>
      <c r="C111" t="s">
        <v>222</v>
      </c>
      <c r="D111" t="s">
        <v>223</v>
      </c>
    </row>
    <row r="112" spans="1:4" x14ac:dyDescent="0.35">
      <c r="A112">
        <v>111</v>
      </c>
      <c r="B112">
        <f>A31</f>
        <v>30</v>
      </c>
      <c r="C112" t="s">
        <v>224</v>
      </c>
      <c r="D112" t="s">
        <v>225</v>
      </c>
    </row>
    <row r="113" spans="1:4" x14ac:dyDescent="0.35">
      <c r="A113">
        <v>112</v>
      </c>
      <c r="B113">
        <f>A87</f>
        <v>86</v>
      </c>
      <c r="C113" t="s">
        <v>226</v>
      </c>
      <c r="D113" t="s">
        <v>227</v>
      </c>
    </row>
    <row r="114" spans="1:4" x14ac:dyDescent="0.35">
      <c r="A114">
        <v>113</v>
      </c>
      <c r="B114">
        <f>A106</f>
        <v>105</v>
      </c>
      <c r="C114" t="s">
        <v>228</v>
      </c>
      <c r="D114" t="s">
        <v>229</v>
      </c>
    </row>
    <row r="115" spans="1:4" x14ac:dyDescent="0.35">
      <c r="A115">
        <v>114</v>
      </c>
      <c r="B115">
        <f>A106</f>
        <v>105</v>
      </c>
      <c r="C115" t="s">
        <v>230</v>
      </c>
      <c r="D115" t="s">
        <v>231</v>
      </c>
    </row>
    <row r="116" spans="1:4" x14ac:dyDescent="0.35">
      <c r="A116">
        <v>115</v>
      </c>
      <c r="B116">
        <f>A106</f>
        <v>105</v>
      </c>
      <c r="C116" t="s">
        <v>232</v>
      </c>
      <c r="D116" t="s">
        <v>233</v>
      </c>
    </row>
    <row r="117" spans="1:4" x14ac:dyDescent="0.35">
      <c r="A117">
        <v>116</v>
      </c>
      <c r="B117">
        <f>A97</f>
        <v>96</v>
      </c>
      <c r="C117" t="s">
        <v>234</v>
      </c>
      <c r="D117" t="s">
        <v>235</v>
      </c>
    </row>
    <row r="118" spans="1:4" x14ac:dyDescent="0.35">
      <c r="A118">
        <v>117</v>
      </c>
      <c r="B118">
        <f>A111</f>
        <v>110</v>
      </c>
      <c r="C118" t="s">
        <v>236</v>
      </c>
      <c r="D118" t="s">
        <v>237</v>
      </c>
    </row>
    <row r="119" spans="1:4" x14ac:dyDescent="0.35">
      <c r="A119">
        <v>118</v>
      </c>
      <c r="B119">
        <f>A116</f>
        <v>115</v>
      </c>
      <c r="C119" t="s">
        <v>238</v>
      </c>
      <c r="D119" t="s">
        <v>239</v>
      </c>
    </row>
    <row r="120" spans="1:4" x14ac:dyDescent="0.35">
      <c r="A120" t="s">
        <v>240</v>
      </c>
      <c r="D120">
        <f>SUBTOTAL(103,lang_families[id])</f>
        <v>118</v>
      </c>
    </row>
  </sheetData>
  <conditionalFormatting sqref="C1:C1048576">
    <cfRule type="duplicateValues" dxfId="11" priority="2"/>
  </conditionalFormatting>
  <conditionalFormatting sqref="A1:A1048576">
    <cfRule type="duplicateValues" dxfId="10" priority="1"/>
  </conditionalFormatting>
  <dataValidations count="1">
    <dataValidation type="list" allowBlank="1" showInputMessage="1" showErrorMessage="1" sqref="B2:B119" xr:uid="{3F94FAE8-72F8-4185-A764-6FA92B3A0755}">
      <formula1>INDIRECT("lang_families[id]")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8818-5BC4-42F1-BEDD-0AD952591F21}">
  <dimension ref="A1:C5"/>
  <sheetViews>
    <sheetView workbookViewId="0">
      <selection activeCell="C6" sqref="C6"/>
    </sheetView>
  </sheetViews>
  <sheetFormatPr defaultRowHeight="14.5" x14ac:dyDescent="0.35"/>
  <cols>
    <col min="1" max="1" width="5.08984375" bestFit="1" customWidth="1"/>
    <col min="2" max="2" width="17" bestFit="1" customWidth="1"/>
    <col min="3" max="3" width="64.81640625" bestFit="1" customWidth="1"/>
  </cols>
  <sheetData>
    <row r="1" spans="1:3" x14ac:dyDescent="0.35">
      <c r="A1" t="s">
        <v>0</v>
      </c>
      <c r="B1" t="s">
        <v>2</v>
      </c>
      <c r="C1" t="s">
        <v>241</v>
      </c>
    </row>
    <row r="2" spans="1:3" x14ac:dyDescent="0.35">
      <c r="A2">
        <v>1</v>
      </c>
      <c r="B2" t="s">
        <v>242</v>
      </c>
      <c r="C2" t="s">
        <v>243</v>
      </c>
    </row>
    <row r="3" spans="1:3" x14ac:dyDescent="0.35">
      <c r="A3">
        <v>2</v>
      </c>
      <c r="B3" t="s">
        <v>244</v>
      </c>
      <c r="C3" t="s">
        <v>245</v>
      </c>
    </row>
    <row r="4" spans="1:3" x14ac:dyDescent="0.35">
      <c r="A4">
        <v>3</v>
      </c>
      <c r="B4" t="s">
        <v>246</v>
      </c>
      <c r="C4" t="s">
        <v>247</v>
      </c>
    </row>
    <row r="5" spans="1:3" x14ac:dyDescent="0.35">
      <c r="A5" t="s">
        <v>240</v>
      </c>
      <c r="C5">
        <f>SUBTOTAL(103,lang_scopes[id])</f>
        <v>3</v>
      </c>
    </row>
  </sheetData>
  <conditionalFormatting sqref="A1:A1048576">
    <cfRule type="duplicateValues" dxfId="9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01FF-303D-4F15-8D47-9672B1FEF0DD}">
  <dimension ref="A1:E31"/>
  <sheetViews>
    <sheetView topLeftCell="A26" workbookViewId="0">
      <selection activeCell="E31" sqref="E31"/>
    </sheetView>
  </sheetViews>
  <sheetFormatPr defaultRowHeight="14.5" x14ac:dyDescent="0.35"/>
  <cols>
    <col min="1" max="1" width="5.08984375" bestFit="1" customWidth="1"/>
    <col min="2" max="2" width="16.54296875" bestFit="1" customWidth="1"/>
    <col min="3" max="3" width="19.453125" bestFit="1" customWidth="1"/>
    <col min="4" max="4" width="40.1796875" bestFit="1" customWidth="1"/>
    <col min="5" max="5" width="10.54296875" bestFit="1" customWidth="1"/>
  </cols>
  <sheetData>
    <row r="1" spans="1:5" x14ac:dyDescent="0.35">
      <c r="A1" t="s">
        <v>0</v>
      </c>
      <c r="B1" t="s">
        <v>248</v>
      </c>
      <c r="C1" t="s">
        <v>249</v>
      </c>
      <c r="D1" t="s">
        <v>2</v>
      </c>
      <c r="E1" t="s">
        <v>250</v>
      </c>
    </row>
    <row r="2" spans="1:5" x14ac:dyDescent="0.35">
      <c r="A2">
        <v>1</v>
      </c>
      <c r="B2" t="s">
        <v>251</v>
      </c>
      <c r="C2">
        <v>215</v>
      </c>
      <c r="D2" t="s">
        <v>252</v>
      </c>
      <c r="E2" t="s">
        <v>253</v>
      </c>
    </row>
    <row r="3" spans="1:5" x14ac:dyDescent="0.35">
      <c r="A3">
        <v>2</v>
      </c>
      <c r="B3" t="s">
        <v>254</v>
      </c>
      <c r="C3">
        <v>220</v>
      </c>
      <c r="D3" t="s">
        <v>255</v>
      </c>
      <c r="E3" t="s">
        <v>253</v>
      </c>
    </row>
    <row r="4" spans="1:5" x14ac:dyDescent="0.35">
      <c r="A4">
        <v>3</v>
      </c>
      <c r="B4" t="s">
        <v>256</v>
      </c>
      <c r="C4">
        <v>430</v>
      </c>
      <c r="D4" t="s">
        <v>257</v>
      </c>
      <c r="E4" t="s">
        <v>253</v>
      </c>
    </row>
    <row r="5" spans="1:5" x14ac:dyDescent="0.35">
      <c r="A5">
        <v>4</v>
      </c>
      <c r="B5" t="s">
        <v>258</v>
      </c>
      <c r="C5">
        <v>160</v>
      </c>
      <c r="D5" t="s">
        <v>259</v>
      </c>
      <c r="E5" t="s">
        <v>260</v>
      </c>
    </row>
    <row r="6" spans="1:5" x14ac:dyDescent="0.35">
      <c r="A6">
        <v>5</v>
      </c>
      <c r="B6" t="s">
        <v>261</v>
      </c>
      <c r="C6">
        <v>325</v>
      </c>
      <c r="D6" t="s">
        <v>262</v>
      </c>
      <c r="E6" t="s">
        <v>253</v>
      </c>
    </row>
    <row r="7" spans="1:5" x14ac:dyDescent="0.35">
      <c r="A7">
        <v>6</v>
      </c>
      <c r="B7" t="s">
        <v>263</v>
      </c>
      <c r="C7">
        <v>330</v>
      </c>
      <c r="D7" t="s">
        <v>264</v>
      </c>
      <c r="E7" t="s">
        <v>253</v>
      </c>
    </row>
    <row r="8" spans="1:5" x14ac:dyDescent="0.35">
      <c r="A8">
        <v>7</v>
      </c>
      <c r="B8" t="s">
        <v>265</v>
      </c>
      <c r="C8">
        <v>440</v>
      </c>
      <c r="D8" t="s">
        <v>266</v>
      </c>
      <c r="E8" t="s">
        <v>253</v>
      </c>
    </row>
    <row r="9" spans="1:5" x14ac:dyDescent="0.35">
      <c r="A9">
        <v>8</v>
      </c>
      <c r="B9" t="s">
        <v>267</v>
      </c>
      <c r="C9">
        <v>170</v>
      </c>
      <c r="D9" t="s">
        <v>268</v>
      </c>
      <c r="E9" t="s">
        <v>260</v>
      </c>
    </row>
    <row r="10" spans="1:5" x14ac:dyDescent="0.35">
      <c r="A10">
        <v>9</v>
      </c>
      <c r="B10" t="s">
        <v>269</v>
      </c>
      <c r="C10">
        <v>200</v>
      </c>
      <c r="D10" t="s">
        <v>270</v>
      </c>
      <c r="E10" t="s">
        <v>253</v>
      </c>
    </row>
    <row r="11" spans="1:5" x14ac:dyDescent="0.35">
      <c r="A11">
        <v>10</v>
      </c>
      <c r="B11" t="s">
        <v>271</v>
      </c>
      <c r="C11">
        <v>320</v>
      </c>
      <c r="D11" t="s">
        <v>272</v>
      </c>
      <c r="E11" t="s">
        <v>253</v>
      </c>
    </row>
    <row r="12" spans="1:5" x14ac:dyDescent="0.35">
      <c r="A12">
        <v>11</v>
      </c>
      <c r="B12" t="s">
        <v>273</v>
      </c>
      <c r="C12">
        <v>125</v>
      </c>
      <c r="D12" t="s">
        <v>274</v>
      </c>
      <c r="E12" t="s">
        <v>260</v>
      </c>
    </row>
    <row r="13" spans="1:5" x14ac:dyDescent="0.35">
      <c r="A13">
        <v>12</v>
      </c>
      <c r="B13" t="s">
        <v>275</v>
      </c>
      <c r="C13">
        <v>315</v>
      </c>
      <c r="D13" t="s">
        <v>276</v>
      </c>
      <c r="E13" t="s">
        <v>253</v>
      </c>
    </row>
    <row r="14" spans="1:5" x14ac:dyDescent="0.35">
      <c r="A14">
        <v>13</v>
      </c>
      <c r="B14" t="s">
        <v>277</v>
      </c>
      <c r="C14">
        <v>230</v>
      </c>
      <c r="D14" t="s">
        <v>278</v>
      </c>
      <c r="E14" t="s">
        <v>253</v>
      </c>
    </row>
    <row r="15" spans="1:5" x14ac:dyDescent="0.35">
      <c r="A15">
        <v>14</v>
      </c>
      <c r="B15" t="s">
        <v>279</v>
      </c>
      <c r="C15">
        <v>460</v>
      </c>
      <c r="D15" t="s">
        <v>280</v>
      </c>
      <c r="E15" t="s">
        <v>253</v>
      </c>
    </row>
    <row r="16" spans="1:5" x14ac:dyDescent="0.35">
      <c r="A16">
        <v>15</v>
      </c>
      <c r="B16" t="s">
        <v>281</v>
      </c>
      <c r="C16">
        <v>413</v>
      </c>
      <c r="D16" t="s">
        <v>282</v>
      </c>
      <c r="E16" t="s">
        <v>253</v>
      </c>
    </row>
    <row r="17" spans="1:5" x14ac:dyDescent="0.35">
      <c r="A17">
        <v>16</v>
      </c>
      <c r="B17" t="s">
        <v>283</v>
      </c>
      <c r="C17">
        <v>240</v>
      </c>
      <c r="D17" t="s">
        <v>284</v>
      </c>
      <c r="E17" t="s">
        <v>253</v>
      </c>
    </row>
    <row r="18" spans="1:5" x14ac:dyDescent="0.35">
      <c r="A18">
        <v>17</v>
      </c>
      <c r="B18" t="s">
        <v>285</v>
      </c>
      <c r="C18">
        <v>355</v>
      </c>
      <c r="D18" t="s">
        <v>286</v>
      </c>
      <c r="E18" t="s">
        <v>253</v>
      </c>
    </row>
    <row r="19" spans="1:5" x14ac:dyDescent="0.35">
      <c r="A19">
        <v>18</v>
      </c>
      <c r="B19" t="s">
        <v>287</v>
      </c>
      <c r="C19">
        <v>345</v>
      </c>
      <c r="D19" t="s">
        <v>288</v>
      </c>
      <c r="E19" t="s">
        <v>253</v>
      </c>
    </row>
    <row r="20" spans="1:5" x14ac:dyDescent="0.35">
      <c r="A20">
        <v>19</v>
      </c>
      <c r="B20" t="s">
        <v>289</v>
      </c>
      <c r="C20">
        <v>286</v>
      </c>
      <c r="D20" t="s">
        <v>290</v>
      </c>
      <c r="E20" t="s">
        <v>253</v>
      </c>
    </row>
    <row r="21" spans="1:5" x14ac:dyDescent="0.35">
      <c r="A21">
        <v>20</v>
      </c>
      <c r="B21" t="s">
        <v>291</v>
      </c>
      <c r="C21">
        <v>356</v>
      </c>
      <c r="D21" t="s">
        <v>292</v>
      </c>
      <c r="E21" t="s">
        <v>253</v>
      </c>
    </row>
    <row r="22" spans="1:5" x14ac:dyDescent="0.35">
      <c r="A22">
        <v>21</v>
      </c>
      <c r="B22" t="s">
        <v>293</v>
      </c>
      <c r="C22">
        <v>347</v>
      </c>
      <c r="D22" t="s">
        <v>294</v>
      </c>
      <c r="E22" t="s">
        <v>253</v>
      </c>
    </row>
    <row r="23" spans="1:5" x14ac:dyDescent="0.35">
      <c r="A23">
        <v>22</v>
      </c>
      <c r="B23" t="s">
        <v>295</v>
      </c>
      <c r="C23">
        <v>350</v>
      </c>
      <c r="D23" t="s">
        <v>296</v>
      </c>
      <c r="E23" t="s">
        <v>253</v>
      </c>
    </row>
    <row r="24" spans="1:5" x14ac:dyDescent="0.35">
      <c r="A24">
        <v>23</v>
      </c>
      <c r="B24" t="s">
        <v>297</v>
      </c>
      <c r="C24">
        <v>327</v>
      </c>
      <c r="D24" t="s">
        <v>298</v>
      </c>
      <c r="E24" t="s">
        <v>253</v>
      </c>
    </row>
    <row r="25" spans="1:5" x14ac:dyDescent="0.35">
      <c r="A25">
        <v>24</v>
      </c>
      <c r="B25" t="s">
        <v>299</v>
      </c>
      <c r="C25">
        <v>310</v>
      </c>
      <c r="D25" t="s">
        <v>300</v>
      </c>
      <c r="E25" t="s">
        <v>253</v>
      </c>
    </row>
    <row r="26" spans="1:5" x14ac:dyDescent="0.35">
      <c r="A26">
        <v>25</v>
      </c>
      <c r="B26" t="s">
        <v>301</v>
      </c>
      <c r="C26">
        <v>348</v>
      </c>
      <c r="D26" t="s">
        <v>302</v>
      </c>
      <c r="E26" t="s">
        <v>253</v>
      </c>
    </row>
    <row r="27" spans="1:5" x14ac:dyDescent="0.35">
      <c r="A27">
        <v>26</v>
      </c>
      <c r="B27" t="s">
        <v>303</v>
      </c>
      <c r="C27">
        <v>346</v>
      </c>
      <c r="D27" t="s">
        <v>304</v>
      </c>
      <c r="E27" t="s">
        <v>253</v>
      </c>
    </row>
    <row r="28" spans="1:5" x14ac:dyDescent="0.35">
      <c r="A28">
        <v>27</v>
      </c>
      <c r="B28" t="s">
        <v>305</v>
      </c>
      <c r="C28">
        <v>340</v>
      </c>
      <c r="D28" t="s">
        <v>306</v>
      </c>
      <c r="E28" t="s">
        <v>253</v>
      </c>
    </row>
    <row r="29" spans="1:5" x14ac:dyDescent="0.35">
      <c r="A29">
        <v>28</v>
      </c>
      <c r="B29" t="s">
        <v>307</v>
      </c>
      <c r="C29">
        <v>352</v>
      </c>
      <c r="D29" t="s">
        <v>307</v>
      </c>
      <c r="E29" t="s">
        <v>253</v>
      </c>
    </row>
    <row r="30" spans="1:5" x14ac:dyDescent="0.35">
      <c r="A30">
        <v>29</v>
      </c>
      <c r="B30" t="s">
        <v>308</v>
      </c>
      <c r="C30">
        <v>501</v>
      </c>
      <c r="D30" t="s">
        <v>309</v>
      </c>
      <c r="E30" t="s">
        <v>253</v>
      </c>
    </row>
    <row r="31" spans="1:5" x14ac:dyDescent="0.35">
      <c r="A31" t="s">
        <v>240</v>
      </c>
      <c r="E31">
        <f>SUBTOTAL(103,lang_scripts[id])</f>
        <v>29</v>
      </c>
    </row>
  </sheetData>
  <conditionalFormatting sqref="A1:A1048576">
    <cfRule type="duplicateValues" dxfId="8" priority="3"/>
  </conditionalFormatting>
  <conditionalFormatting sqref="B1:B1048576">
    <cfRule type="duplicateValues" dxfId="7" priority="2"/>
  </conditionalFormatting>
  <conditionalFormatting sqref="C1:C1048576">
    <cfRule type="duplicateValues" dxfId="6" priority="1"/>
  </conditionalFormatting>
  <dataValidations count="1">
    <dataValidation type="list" allowBlank="1" showInputMessage="1" showErrorMessage="1" sqref="E2:E30" xr:uid="{181DF7C2-5F6D-4815-B923-E884ACDD359A}">
      <formula1>"ltr,rtl"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6234-22D8-4065-88F4-6D5A8A95BBD3}">
  <dimension ref="A1:C8"/>
  <sheetViews>
    <sheetView workbookViewId="0">
      <selection activeCell="B4" sqref="B4"/>
    </sheetView>
  </sheetViews>
  <sheetFormatPr defaultRowHeight="14.5" x14ac:dyDescent="0.35"/>
  <cols>
    <col min="1" max="1" width="5.08984375" style="1" bestFit="1" customWidth="1"/>
    <col min="2" max="2" width="10.90625" style="1" bestFit="1" customWidth="1"/>
    <col min="3" max="3" width="80.90625" style="2" customWidth="1"/>
    <col min="4" max="16384" width="8.7265625" style="1"/>
  </cols>
  <sheetData>
    <row r="1" spans="1:3" x14ac:dyDescent="0.35">
      <c r="A1" s="1" t="s">
        <v>0</v>
      </c>
      <c r="B1" s="1" t="s">
        <v>2</v>
      </c>
      <c r="C1" s="2" t="s">
        <v>241</v>
      </c>
    </row>
    <row r="2" spans="1:3" x14ac:dyDescent="0.35">
      <c r="A2" s="5">
        <v>1</v>
      </c>
      <c r="B2" s="1" t="s">
        <v>310</v>
      </c>
      <c r="C2" s="2" t="s">
        <v>311</v>
      </c>
    </row>
    <row r="3" spans="1:3" x14ac:dyDescent="0.35">
      <c r="A3" s="5">
        <v>2</v>
      </c>
      <c r="B3" s="1" t="s">
        <v>312</v>
      </c>
      <c r="C3" s="2" t="s">
        <v>313</v>
      </c>
    </row>
    <row r="4" spans="1:3" ht="43.5" x14ac:dyDescent="0.35">
      <c r="A4" s="5">
        <v>3</v>
      </c>
      <c r="B4" s="1" t="s">
        <v>314</v>
      </c>
      <c r="C4" s="2" t="s">
        <v>315</v>
      </c>
    </row>
    <row r="5" spans="1:3" x14ac:dyDescent="0.35">
      <c r="A5" s="5">
        <v>4</v>
      </c>
      <c r="B5" s="1" t="s">
        <v>316</v>
      </c>
      <c r="C5" s="2" t="s">
        <v>317</v>
      </c>
    </row>
    <row r="6" spans="1:3" ht="29" x14ac:dyDescent="0.35">
      <c r="A6" s="5">
        <v>5</v>
      </c>
      <c r="B6" s="1" t="s">
        <v>318</v>
      </c>
      <c r="C6" s="2" t="s">
        <v>319</v>
      </c>
    </row>
    <row r="7" spans="1:3" x14ac:dyDescent="0.35">
      <c r="A7" s="5">
        <v>6</v>
      </c>
      <c r="B7" s="1" t="s">
        <v>246</v>
      </c>
      <c r="C7" s="2" t="s">
        <v>320</v>
      </c>
    </row>
    <row r="8" spans="1:3" x14ac:dyDescent="0.35">
      <c r="A8" s="4" t="s">
        <v>240</v>
      </c>
      <c r="C8" s="3">
        <f>SUBTOTAL(103,lang_types[description])</f>
        <v>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8600-AC08-4EA1-A438-365491FD6592}">
  <dimension ref="A1:K185"/>
  <sheetViews>
    <sheetView workbookViewId="0">
      <selection activeCell="G3" sqref="G3"/>
    </sheetView>
  </sheetViews>
  <sheetFormatPr defaultRowHeight="14.5" x14ac:dyDescent="0.35"/>
  <cols>
    <col min="1" max="1" width="4.6328125" bestFit="1" customWidth="1"/>
    <col min="2" max="4" width="11.453125" bestFit="1" customWidth="1"/>
    <col min="5" max="5" width="10.7265625" bestFit="1" customWidth="1"/>
    <col min="6" max="6" width="10.453125" bestFit="1" customWidth="1"/>
    <col min="7" max="7" width="10.26953125" bestFit="1" customWidth="1"/>
    <col min="8" max="8" width="9.36328125" bestFit="1" customWidth="1"/>
    <col min="9" max="9" width="17.26953125" bestFit="1" customWidth="1"/>
    <col min="10" max="10" width="16.81640625" bestFit="1" customWidth="1"/>
    <col min="11" max="11" width="35.26953125" customWidth="1"/>
  </cols>
  <sheetData>
    <row r="1" spans="1:11" x14ac:dyDescent="0.35">
      <c r="A1" t="s">
        <v>0</v>
      </c>
      <c r="B1" t="s">
        <v>321</v>
      </c>
      <c r="C1" t="s">
        <v>322</v>
      </c>
      <c r="D1" t="s">
        <v>323</v>
      </c>
      <c r="E1" t="s">
        <v>1206</v>
      </c>
      <c r="F1" t="s">
        <v>1207</v>
      </c>
      <c r="G1" t="s">
        <v>1208</v>
      </c>
      <c r="H1" t="s">
        <v>1209</v>
      </c>
      <c r="I1" t="s">
        <v>324</v>
      </c>
      <c r="J1" t="s">
        <v>325</v>
      </c>
      <c r="K1" t="s">
        <v>326</v>
      </c>
    </row>
    <row r="2" spans="1:11" x14ac:dyDescent="0.35">
      <c r="A2">
        <v>1</v>
      </c>
      <c r="B2" t="s">
        <v>327</v>
      </c>
      <c r="C2" t="s">
        <v>328</v>
      </c>
      <c r="D2" t="s">
        <v>328</v>
      </c>
      <c r="E2">
        <f>lang_families!A3</f>
        <v>2</v>
      </c>
      <c r="F2">
        <f>lang_scopes!A2</f>
        <v>1</v>
      </c>
      <c r="G2">
        <f>lang_scripts!A2</f>
        <v>1</v>
      </c>
      <c r="H2">
        <f>lang_types!A2</f>
        <v>1</v>
      </c>
      <c r="I2" t="s">
        <v>329</v>
      </c>
      <c r="J2" t="s">
        <v>330</v>
      </c>
      <c r="K2" t="s">
        <v>331</v>
      </c>
    </row>
    <row r="3" spans="1:11" x14ac:dyDescent="0.35">
      <c r="A3">
        <v>2</v>
      </c>
      <c r="B3" t="s">
        <v>332</v>
      </c>
      <c r="C3" t="s">
        <v>333</v>
      </c>
      <c r="D3" t="s">
        <v>333</v>
      </c>
      <c r="E3">
        <f>lang_families!A39</f>
        <v>38</v>
      </c>
      <c r="F3">
        <f>lang_scopes!A2</f>
        <v>1</v>
      </c>
      <c r="G3">
        <f>lang_scripts!A3</f>
        <v>2</v>
      </c>
      <c r="H3">
        <f>lang_types!A2</f>
        <v>1</v>
      </c>
      <c r="I3" t="s">
        <v>334</v>
      </c>
      <c r="J3" t="s">
        <v>335</v>
      </c>
      <c r="K3" t="s">
        <v>336</v>
      </c>
    </row>
    <row r="4" spans="1:11" x14ac:dyDescent="0.35">
      <c r="A4">
        <v>3</v>
      </c>
      <c r="B4" t="s">
        <v>337</v>
      </c>
      <c r="C4" t="s">
        <v>338</v>
      </c>
      <c r="D4" t="s">
        <v>338</v>
      </c>
      <c r="E4">
        <f>lang_families!A14</f>
        <v>13</v>
      </c>
      <c r="F4">
        <f>lang_scopes!A2</f>
        <v>1</v>
      </c>
      <c r="G4">
        <f>lang_scripts!A2</f>
        <v>1</v>
      </c>
      <c r="H4">
        <f>lang_types!A3</f>
        <v>2</v>
      </c>
      <c r="I4" t="s">
        <v>339</v>
      </c>
      <c r="J4" t="s">
        <v>340</v>
      </c>
      <c r="K4" t="s">
        <v>341</v>
      </c>
    </row>
    <row r="5" spans="1:11" x14ac:dyDescent="0.35">
      <c r="A5">
        <v>4</v>
      </c>
      <c r="B5" t="s">
        <v>342</v>
      </c>
      <c r="C5" t="s">
        <v>343</v>
      </c>
      <c r="D5" t="s">
        <v>343</v>
      </c>
      <c r="E5">
        <f>lang_families!A14</f>
        <v>13</v>
      </c>
      <c r="F5">
        <f>lang_scopes!A2</f>
        <v>1</v>
      </c>
      <c r="G5">
        <f>lang_scripts!A2</f>
        <v>1</v>
      </c>
      <c r="H5">
        <f>lang_types!A2</f>
        <v>1</v>
      </c>
      <c r="I5" t="s">
        <v>344</v>
      </c>
      <c r="J5" t="s">
        <v>344</v>
      </c>
      <c r="K5" t="s">
        <v>345</v>
      </c>
    </row>
    <row r="6" spans="1:11" x14ac:dyDescent="0.35">
      <c r="A6">
        <v>5</v>
      </c>
      <c r="B6" t="s">
        <v>346</v>
      </c>
      <c r="C6" t="s">
        <v>347</v>
      </c>
      <c r="D6" t="s">
        <v>347</v>
      </c>
      <c r="E6">
        <f>lang_families!A19</f>
        <v>18</v>
      </c>
      <c r="F6">
        <f>lang_scopes!A3</f>
        <v>2</v>
      </c>
      <c r="G6">
        <f>lang_scripts!A2</f>
        <v>1</v>
      </c>
      <c r="H6">
        <f>lang_types!A2</f>
        <v>1</v>
      </c>
      <c r="I6" t="s">
        <v>348</v>
      </c>
      <c r="J6" t="s">
        <v>348</v>
      </c>
      <c r="K6" t="s">
        <v>349</v>
      </c>
    </row>
    <row r="7" spans="1:11" x14ac:dyDescent="0.35">
      <c r="A7">
        <v>6</v>
      </c>
      <c r="B7" t="s">
        <v>350</v>
      </c>
      <c r="C7" t="s">
        <v>351</v>
      </c>
      <c r="D7" t="s">
        <v>351</v>
      </c>
      <c r="E7">
        <f>lang_families!A3</f>
        <v>2</v>
      </c>
      <c r="F7">
        <f>lang_scopes!A2</f>
        <v>1</v>
      </c>
      <c r="G7">
        <f>lang_scripts!A4</f>
        <v>3</v>
      </c>
      <c r="H7">
        <f>lang_types!A2</f>
        <v>1</v>
      </c>
      <c r="I7" t="s">
        <v>352</v>
      </c>
      <c r="J7" t="s">
        <v>353</v>
      </c>
      <c r="K7" t="s">
        <v>354</v>
      </c>
    </row>
    <row r="8" spans="1:11" x14ac:dyDescent="0.35">
      <c r="A8">
        <v>7</v>
      </c>
      <c r="B8" t="s">
        <v>355</v>
      </c>
      <c r="C8" t="s">
        <v>356</v>
      </c>
      <c r="D8" t="s">
        <v>356</v>
      </c>
      <c r="E8">
        <f>lang_families!A14</f>
        <v>13</v>
      </c>
      <c r="F8">
        <f>lang_scopes!A2</f>
        <v>1</v>
      </c>
      <c r="G8">
        <f>lang_scripts!A2</f>
        <v>1</v>
      </c>
      <c r="H8">
        <f>lang_types!A2</f>
        <v>1</v>
      </c>
      <c r="I8" t="s">
        <v>357</v>
      </c>
      <c r="J8" t="s">
        <v>358</v>
      </c>
      <c r="K8" t="s">
        <v>359</v>
      </c>
    </row>
    <row r="9" spans="1:11" x14ac:dyDescent="0.35">
      <c r="A9">
        <v>8</v>
      </c>
      <c r="B9" t="s">
        <v>360</v>
      </c>
      <c r="C9" t="s">
        <v>361</v>
      </c>
      <c r="D9" t="s">
        <v>361</v>
      </c>
      <c r="E9">
        <f>lang_families!A3</f>
        <v>2</v>
      </c>
      <c r="F9">
        <f>lang_scopes!A3</f>
        <v>2</v>
      </c>
      <c r="G9">
        <f>lang_scripts!A5</f>
        <v>4</v>
      </c>
      <c r="H9">
        <f>lang_types!A2</f>
        <v>1</v>
      </c>
      <c r="I9" t="s">
        <v>259</v>
      </c>
      <c r="J9" t="s">
        <v>362</v>
      </c>
      <c r="K9" t="s">
        <v>363</v>
      </c>
    </row>
    <row r="10" spans="1:11" x14ac:dyDescent="0.35">
      <c r="A10">
        <v>9</v>
      </c>
      <c r="B10" t="s">
        <v>364</v>
      </c>
      <c r="C10" t="s">
        <v>365</v>
      </c>
      <c r="D10" t="s">
        <v>365</v>
      </c>
      <c r="E10">
        <f>lang_families!A14</f>
        <v>13</v>
      </c>
      <c r="F10">
        <f>lang_scopes!A2</f>
        <v>1</v>
      </c>
      <c r="G10">
        <f>lang_scripts!A6</f>
        <v>5</v>
      </c>
      <c r="H10">
        <f>lang_types!A2</f>
        <v>1</v>
      </c>
      <c r="I10" t="s">
        <v>366</v>
      </c>
      <c r="J10" t="s">
        <v>367</v>
      </c>
      <c r="K10" t="s">
        <v>368</v>
      </c>
    </row>
    <row r="11" spans="1:11" x14ac:dyDescent="0.35">
      <c r="A11">
        <v>10</v>
      </c>
      <c r="B11" t="s">
        <v>369</v>
      </c>
      <c r="C11" t="s">
        <v>370</v>
      </c>
      <c r="D11" t="s">
        <v>370</v>
      </c>
      <c r="E11">
        <f>lang_families!A39</f>
        <v>38</v>
      </c>
      <c r="F11">
        <f>lang_scopes!A2</f>
        <v>1</v>
      </c>
      <c r="G11">
        <f>lang_scripts!A3</f>
        <v>2</v>
      </c>
      <c r="H11">
        <f>lang_types!A2</f>
        <v>1</v>
      </c>
      <c r="I11" t="s">
        <v>371</v>
      </c>
      <c r="J11" t="s">
        <v>372</v>
      </c>
      <c r="K11" t="s">
        <v>373</v>
      </c>
    </row>
    <row r="12" spans="1:11" x14ac:dyDescent="0.35">
      <c r="A12">
        <v>11</v>
      </c>
      <c r="B12" t="s">
        <v>374</v>
      </c>
      <c r="C12" t="s">
        <v>56</v>
      </c>
      <c r="D12" t="s">
        <v>56</v>
      </c>
      <c r="E12">
        <f>lang_families!A28</f>
        <v>27</v>
      </c>
      <c r="F12">
        <f>lang_scopes!A3</f>
        <v>2</v>
      </c>
      <c r="G12">
        <f>lang_scripts!A2</f>
        <v>1</v>
      </c>
      <c r="H12">
        <f>lang_types!A2</f>
        <v>1</v>
      </c>
      <c r="I12" t="s">
        <v>375</v>
      </c>
      <c r="J12" t="s">
        <v>376</v>
      </c>
      <c r="K12" t="s">
        <v>377</v>
      </c>
    </row>
    <row r="13" spans="1:11" x14ac:dyDescent="0.35">
      <c r="A13">
        <v>12</v>
      </c>
      <c r="B13" t="s">
        <v>378</v>
      </c>
      <c r="C13" t="s">
        <v>379</v>
      </c>
      <c r="D13" t="s">
        <v>379</v>
      </c>
      <c r="E13">
        <f>lang_families!A78</f>
        <v>77</v>
      </c>
      <c r="F13">
        <f>lang_scopes!A3</f>
        <v>2</v>
      </c>
      <c r="G13">
        <f>lang_scripts!A2</f>
        <v>1</v>
      </c>
      <c r="H13">
        <f>lang_types!A2</f>
        <v>1</v>
      </c>
      <c r="I13" t="s">
        <v>380</v>
      </c>
      <c r="J13" t="s">
        <v>381</v>
      </c>
      <c r="K13" t="s">
        <v>382</v>
      </c>
    </row>
    <row r="14" spans="1:11" x14ac:dyDescent="0.35">
      <c r="A14">
        <v>13</v>
      </c>
      <c r="B14" t="s">
        <v>383</v>
      </c>
      <c r="C14" t="s">
        <v>384</v>
      </c>
      <c r="D14" t="s">
        <v>384</v>
      </c>
      <c r="E14">
        <f>lang_families!A78</f>
        <v>77</v>
      </c>
      <c r="F14">
        <f>lang_scopes!A2</f>
        <v>1</v>
      </c>
      <c r="G14">
        <f>lang_scripts!A3</f>
        <v>2</v>
      </c>
      <c r="H14">
        <f>lang_types!A2</f>
        <v>1</v>
      </c>
      <c r="I14" t="s">
        <v>385</v>
      </c>
      <c r="J14" t="s">
        <v>386</v>
      </c>
      <c r="K14" t="s">
        <v>387</v>
      </c>
    </row>
    <row r="15" spans="1:11" x14ac:dyDescent="0.35">
      <c r="A15">
        <v>14</v>
      </c>
      <c r="B15" t="s">
        <v>388</v>
      </c>
      <c r="C15" t="s">
        <v>389</v>
      </c>
      <c r="D15" t="s">
        <v>389</v>
      </c>
      <c r="E15">
        <f>lang_families!A14</f>
        <v>13</v>
      </c>
      <c r="F15">
        <f>lang_scopes!A2</f>
        <v>1</v>
      </c>
      <c r="G15">
        <f>lang_scripts!A3</f>
        <v>2</v>
      </c>
      <c r="H15">
        <f>lang_types!A2</f>
        <v>1</v>
      </c>
      <c r="I15" t="s">
        <v>390</v>
      </c>
      <c r="J15" t="s">
        <v>391</v>
      </c>
      <c r="K15" t="s">
        <v>392</v>
      </c>
    </row>
    <row r="16" spans="1:11" x14ac:dyDescent="0.35">
      <c r="A16">
        <v>15</v>
      </c>
      <c r="B16" t="s">
        <v>393</v>
      </c>
      <c r="C16" t="s">
        <v>394</v>
      </c>
      <c r="D16" t="s">
        <v>394</v>
      </c>
      <c r="E16">
        <f>lang_families!A14</f>
        <v>13</v>
      </c>
      <c r="F16">
        <f>lang_scopes!A2</f>
        <v>1</v>
      </c>
      <c r="G16">
        <f>lang_scripts!A3</f>
        <v>2</v>
      </c>
      <c r="H16">
        <f>lang_types!A2</f>
        <v>1</v>
      </c>
      <c r="I16" t="s">
        <v>395</v>
      </c>
      <c r="J16" t="s">
        <v>396</v>
      </c>
      <c r="K16" t="s">
        <v>397</v>
      </c>
    </row>
    <row r="17" spans="1:11" x14ac:dyDescent="0.35">
      <c r="A17">
        <v>16</v>
      </c>
      <c r="B17" t="s">
        <v>398</v>
      </c>
      <c r="C17" t="s">
        <v>399</v>
      </c>
      <c r="D17" t="s">
        <v>399</v>
      </c>
      <c r="E17">
        <f>lang_families!A44</f>
        <v>43</v>
      </c>
      <c r="F17">
        <f>lang_scopes!A2</f>
        <v>1</v>
      </c>
      <c r="G17">
        <f>lang_scripts!A2</f>
        <v>1</v>
      </c>
      <c r="H17">
        <f>lang_types!A2</f>
        <v>1</v>
      </c>
      <c r="I17" t="s">
        <v>400</v>
      </c>
      <c r="J17" t="s">
        <v>400</v>
      </c>
      <c r="K17" t="s">
        <v>401</v>
      </c>
    </row>
    <row r="18" spans="1:11" x14ac:dyDescent="0.35">
      <c r="A18">
        <v>17</v>
      </c>
      <c r="B18" t="s">
        <v>402</v>
      </c>
      <c r="C18" t="s">
        <v>403</v>
      </c>
      <c r="D18" t="s">
        <v>403</v>
      </c>
      <c r="E18">
        <f>lang_families!A19</f>
        <v>18</v>
      </c>
      <c r="F18">
        <f>lang_scopes!A2</f>
        <v>1</v>
      </c>
      <c r="G18">
        <f>lang_scripts!A2</f>
        <v>1</v>
      </c>
      <c r="H18">
        <f>lang_types!A2</f>
        <v>1</v>
      </c>
      <c r="I18" t="s">
        <v>404</v>
      </c>
      <c r="J18" t="s">
        <v>405</v>
      </c>
      <c r="K18" t="s">
        <v>406</v>
      </c>
    </row>
    <row r="19" spans="1:11" x14ac:dyDescent="0.35">
      <c r="A19">
        <v>18</v>
      </c>
      <c r="B19" t="s">
        <v>407</v>
      </c>
      <c r="C19" t="s">
        <v>408</v>
      </c>
      <c r="D19" t="s">
        <v>408</v>
      </c>
      <c r="E19">
        <f>lang_families!A14</f>
        <v>13</v>
      </c>
      <c r="F19">
        <f>lang_scopes!A2</f>
        <v>1</v>
      </c>
      <c r="G19">
        <f>lang_scripts!A6</f>
        <v>5</v>
      </c>
      <c r="H19">
        <f>lang_types!A2</f>
        <v>1</v>
      </c>
      <c r="I19" t="s">
        <v>409</v>
      </c>
      <c r="J19" t="s">
        <v>410</v>
      </c>
      <c r="K19" t="s">
        <v>411</v>
      </c>
    </row>
    <row r="20" spans="1:11" x14ac:dyDescent="0.35">
      <c r="A20">
        <v>19</v>
      </c>
      <c r="B20" t="s">
        <v>412</v>
      </c>
      <c r="C20" t="s">
        <v>413</v>
      </c>
      <c r="D20" t="s">
        <v>413</v>
      </c>
      <c r="E20">
        <f>lang_families!A23</f>
        <v>22</v>
      </c>
      <c r="F20">
        <f>lang_scopes!A2</f>
        <v>1</v>
      </c>
      <c r="G20">
        <f>lang_scripts!A7</f>
        <v>6</v>
      </c>
      <c r="H20">
        <f>lang_types!A2</f>
        <v>1</v>
      </c>
      <c r="I20" t="s">
        <v>264</v>
      </c>
      <c r="J20" t="s">
        <v>414</v>
      </c>
      <c r="K20" t="s">
        <v>415</v>
      </c>
    </row>
    <row r="21" spans="1:11" x14ac:dyDescent="0.35">
      <c r="A21">
        <v>20</v>
      </c>
      <c r="B21" t="s">
        <v>416</v>
      </c>
      <c r="C21" t="s">
        <v>417</v>
      </c>
      <c r="D21" t="s">
        <v>417</v>
      </c>
      <c r="E21">
        <f>lang_families!A14</f>
        <v>13</v>
      </c>
      <c r="F21">
        <f>lang_scopes!A2</f>
        <v>1</v>
      </c>
      <c r="G21">
        <f>lang_scripts!A2</f>
        <v>1</v>
      </c>
      <c r="H21">
        <f>lang_types!A2</f>
        <v>1</v>
      </c>
      <c r="I21" t="s">
        <v>418</v>
      </c>
      <c r="J21" t="s">
        <v>419</v>
      </c>
      <c r="K21" t="s">
        <v>420</v>
      </c>
    </row>
    <row r="22" spans="1:11" x14ac:dyDescent="0.35">
      <c r="A22">
        <v>21</v>
      </c>
      <c r="B22" t="s">
        <v>421</v>
      </c>
      <c r="C22" t="s">
        <v>422</v>
      </c>
      <c r="D22" t="s">
        <v>422</v>
      </c>
      <c r="E22">
        <f>lang_families!A14</f>
        <v>13</v>
      </c>
      <c r="F22">
        <f>lang_scopes!A2</f>
        <v>1</v>
      </c>
      <c r="G22">
        <f>lang_scripts!A2</f>
        <v>1</v>
      </c>
      <c r="H22">
        <f>lang_types!A2</f>
        <v>1</v>
      </c>
      <c r="I22" t="s">
        <v>423</v>
      </c>
      <c r="J22" t="s">
        <v>424</v>
      </c>
      <c r="K22" t="s">
        <v>425</v>
      </c>
    </row>
    <row r="23" spans="1:11" x14ac:dyDescent="0.35">
      <c r="A23">
        <v>22</v>
      </c>
      <c r="B23" t="s">
        <v>426</v>
      </c>
      <c r="C23" t="s">
        <v>427</v>
      </c>
      <c r="D23" t="s">
        <v>427</v>
      </c>
      <c r="E23">
        <f>lang_families!A14</f>
        <v>13</v>
      </c>
      <c r="F23">
        <f>lang_scopes!A2</f>
        <v>1</v>
      </c>
      <c r="G23">
        <f>lang_scripts!A2</f>
        <v>1</v>
      </c>
      <c r="H23">
        <f>lang_types!A2</f>
        <v>1</v>
      </c>
      <c r="I23" t="s">
        <v>428</v>
      </c>
      <c r="J23" t="s">
        <v>429</v>
      </c>
      <c r="K23" t="s">
        <v>430</v>
      </c>
    </row>
    <row r="24" spans="1:11" x14ac:dyDescent="0.35">
      <c r="A24">
        <v>23</v>
      </c>
      <c r="B24" t="s">
        <v>431</v>
      </c>
      <c r="C24" t="s">
        <v>432</v>
      </c>
      <c r="D24" t="s">
        <v>432</v>
      </c>
      <c r="E24">
        <f>lang_families!A39</f>
        <v>38</v>
      </c>
      <c r="F24">
        <f>lang_scopes!A2</f>
        <v>1</v>
      </c>
      <c r="G24">
        <f>lang_scripts!A3</f>
        <v>2</v>
      </c>
      <c r="H24">
        <f>lang_types!A2</f>
        <v>1</v>
      </c>
      <c r="I24" t="s">
        <v>433</v>
      </c>
      <c r="J24" t="s">
        <v>434</v>
      </c>
      <c r="K24" t="s">
        <v>435</v>
      </c>
    </row>
    <row r="25" spans="1:11" x14ac:dyDescent="0.35">
      <c r="A25">
        <v>24</v>
      </c>
      <c r="B25" t="s">
        <v>436</v>
      </c>
      <c r="C25" t="s">
        <v>437</v>
      </c>
      <c r="D25" t="s">
        <v>437</v>
      </c>
      <c r="E25">
        <f>lang_families!A17</f>
        <v>16</v>
      </c>
      <c r="F25">
        <f>lang_scopes!A2</f>
        <v>1</v>
      </c>
      <c r="G25">
        <f>lang_scripts!A2</f>
        <v>1</v>
      </c>
      <c r="H25">
        <f>lang_types!A2</f>
        <v>1</v>
      </c>
      <c r="I25" t="s">
        <v>438</v>
      </c>
      <c r="J25" t="s">
        <v>439</v>
      </c>
      <c r="K25" t="s">
        <v>440</v>
      </c>
    </row>
    <row r="26" spans="1:11" x14ac:dyDescent="0.35">
      <c r="A26">
        <v>25</v>
      </c>
      <c r="B26" t="s">
        <v>441</v>
      </c>
      <c r="C26" t="s">
        <v>442</v>
      </c>
      <c r="D26" t="s">
        <v>442</v>
      </c>
      <c r="E26">
        <f>lang_families!A14</f>
        <v>13</v>
      </c>
      <c r="F26">
        <f>lang_scopes!A2</f>
        <v>1</v>
      </c>
      <c r="G26">
        <f>lang_scripts!A2</f>
        <v>1</v>
      </c>
      <c r="H26">
        <f>lang_types!A2</f>
        <v>1</v>
      </c>
      <c r="I26" t="s">
        <v>443</v>
      </c>
      <c r="J26" t="s">
        <v>444</v>
      </c>
      <c r="K26" t="s">
        <v>445</v>
      </c>
    </row>
    <row r="27" spans="1:11" x14ac:dyDescent="0.35">
      <c r="A27">
        <v>26</v>
      </c>
      <c r="B27" t="s">
        <v>446</v>
      </c>
      <c r="C27" t="s">
        <v>447</v>
      </c>
      <c r="D27" t="s">
        <v>447</v>
      </c>
      <c r="E27">
        <f>lang_families!A33</f>
        <v>32</v>
      </c>
      <c r="F27">
        <f>lang_scopes!A3</f>
        <v>2</v>
      </c>
      <c r="G27">
        <f>lang_scripts!A8</f>
        <v>7</v>
      </c>
      <c r="H27">
        <f>lang_types!A2</f>
        <v>1</v>
      </c>
      <c r="I27" t="s">
        <v>448</v>
      </c>
      <c r="J27" t="s">
        <v>449</v>
      </c>
      <c r="K27" t="s">
        <v>450</v>
      </c>
    </row>
    <row r="28" spans="1:11" x14ac:dyDescent="0.35">
      <c r="A28">
        <v>27</v>
      </c>
      <c r="B28" t="s">
        <v>451</v>
      </c>
      <c r="C28" t="s">
        <v>452</v>
      </c>
      <c r="D28" t="s">
        <v>452</v>
      </c>
      <c r="E28">
        <f>lang_families!A14</f>
        <v>13</v>
      </c>
      <c r="F28">
        <f>lang_scopes!A2</f>
        <v>1</v>
      </c>
      <c r="G28">
        <f>lang_scripts!A2</f>
        <v>1</v>
      </c>
      <c r="H28">
        <f>lang_types!A2</f>
        <v>1</v>
      </c>
      <c r="I28" t="s">
        <v>453</v>
      </c>
      <c r="J28" t="s">
        <v>454</v>
      </c>
      <c r="K28" t="s">
        <v>455</v>
      </c>
    </row>
    <row r="29" spans="1:11" x14ac:dyDescent="0.35">
      <c r="A29">
        <v>28</v>
      </c>
      <c r="B29" t="s">
        <v>456</v>
      </c>
      <c r="C29" t="s">
        <v>457</v>
      </c>
      <c r="D29" t="s">
        <v>457</v>
      </c>
      <c r="E29">
        <f>lang_families!A14</f>
        <v>13</v>
      </c>
      <c r="F29">
        <f>lang_scopes!A2</f>
        <v>1</v>
      </c>
      <c r="G29">
        <f>lang_scripts!A3</f>
        <v>2</v>
      </c>
      <c r="H29">
        <f>lang_types!A3</f>
        <v>2</v>
      </c>
      <c r="I29" t="s">
        <v>458</v>
      </c>
      <c r="J29" t="s">
        <v>459</v>
      </c>
      <c r="K29" t="s">
        <v>460</v>
      </c>
    </row>
    <row r="30" spans="1:11" x14ac:dyDescent="0.35">
      <c r="A30">
        <v>29</v>
      </c>
      <c r="B30" t="s">
        <v>461</v>
      </c>
      <c r="C30" t="s">
        <v>462</v>
      </c>
      <c r="D30" t="s">
        <v>462</v>
      </c>
      <c r="E30">
        <f>lang_families!A78</f>
        <v>77</v>
      </c>
      <c r="F30">
        <f>lang_scopes!A2</f>
        <v>1</v>
      </c>
      <c r="G30">
        <f>lang_scripts!A3</f>
        <v>2</v>
      </c>
      <c r="H30">
        <f>lang_types!A2</f>
        <v>1</v>
      </c>
      <c r="I30" t="s">
        <v>463</v>
      </c>
      <c r="J30" t="s">
        <v>464</v>
      </c>
      <c r="K30" t="s">
        <v>465</v>
      </c>
    </row>
    <row r="31" spans="1:11" x14ac:dyDescent="0.35">
      <c r="A31">
        <v>30</v>
      </c>
      <c r="B31" t="s">
        <v>466</v>
      </c>
      <c r="C31" t="s">
        <v>467</v>
      </c>
      <c r="D31" t="s">
        <v>467</v>
      </c>
      <c r="E31">
        <f>lang_families!A14</f>
        <v>13</v>
      </c>
      <c r="F31">
        <f>lang_scopes!A2</f>
        <v>1</v>
      </c>
      <c r="G31">
        <f>lang_scripts!A2</f>
        <v>1</v>
      </c>
      <c r="H31">
        <f>lang_types!A2</f>
        <v>1</v>
      </c>
      <c r="I31" t="s">
        <v>468</v>
      </c>
      <c r="J31" t="s">
        <v>469</v>
      </c>
      <c r="K31" t="s">
        <v>470</v>
      </c>
    </row>
    <row r="32" spans="1:11" x14ac:dyDescent="0.35">
      <c r="A32">
        <v>31</v>
      </c>
      <c r="B32" t="s">
        <v>471</v>
      </c>
      <c r="C32" t="s">
        <v>472</v>
      </c>
      <c r="D32" t="s">
        <v>472</v>
      </c>
      <c r="E32">
        <f>lang_families!A14</f>
        <v>13</v>
      </c>
      <c r="F32">
        <f>lang_scopes!A2</f>
        <v>1</v>
      </c>
      <c r="G32">
        <f>lang_scripts!A2</f>
        <v>1</v>
      </c>
      <c r="H32">
        <f>lang_types!A2</f>
        <v>1</v>
      </c>
      <c r="I32" t="s">
        <v>473</v>
      </c>
      <c r="J32" t="s">
        <v>474</v>
      </c>
      <c r="K32" t="s">
        <v>475</v>
      </c>
    </row>
    <row r="33" spans="1:11" x14ac:dyDescent="0.35">
      <c r="A33">
        <v>32</v>
      </c>
      <c r="B33" t="s">
        <v>476</v>
      </c>
      <c r="C33" t="s">
        <v>477</v>
      </c>
      <c r="D33" t="s">
        <v>477</v>
      </c>
      <c r="E33">
        <f>lang_families!A14</f>
        <v>13</v>
      </c>
      <c r="F33">
        <f>lang_scopes!A2</f>
        <v>1</v>
      </c>
      <c r="G33">
        <f>lang_scripts!A2</f>
        <v>1</v>
      </c>
      <c r="H33">
        <f>lang_types!A2</f>
        <v>1</v>
      </c>
      <c r="I33" t="s">
        <v>478</v>
      </c>
      <c r="J33" t="s">
        <v>479</v>
      </c>
      <c r="K33" t="s">
        <v>480</v>
      </c>
    </row>
    <row r="34" spans="1:11" x14ac:dyDescent="0.35">
      <c r="A34">
        <v>33</v>
      </c>
      <c r="B34" t="s">
        <v>481</v>
      </c>
      <c r="C34" t="s">
        <v>482</v>
      </c>
      <c r="D34" t="s">
        <v>482</v>
      </c>
      <c r="E34">
        <f>lang_families!A14</f>
        <v>13</v>
      </c>
      <c r="F34">
        <f>lang_scopes!A2</f>
        <v>1</v>
      </c>
      <c r="G34">
        <f>lang_scripts!A9</f>
        <v>8</v>
      </c>
      <c r="H34">
        <f>lang_types!A2</f>
        <v>1</v>
      </c>
      <c r="I34" t="s">
        <v>483</v>
      </c>
      <c r="J34" t="s">
        <v>484</v>
      </c>
      <c r="K34" t="s">
        <v>485</v>
      </c>
    </row>
    <row r="35" spans="1:11" x14ac:dyDescent="0.35">
      <c r="A35">
        <v>34</v>
      </c>
      <c r="B35" t="s">
        <v>486</v>
      </c>
      <c r="C35" t="s">
        <v>487</v>
      </c>
      <c r="D35" t="s">
        <v>487</v>
      </c>
      <c r="E35">
        <f>lang_families!A23</f>
        <v>22</v>
      </c>
      <c r="F35">
        <f>lang_scopes!A2</f>
        <v>1</v>
      </c>
      <c r="G35">
        <f>lang_scripts!A7</f>
        <v>6</v>
      </c>
      <c r="H35">
        <f>lang_types!A2</f>
        <v>1</v>
      </c>
      <c r="I35" t="s">
        <v>488</v>
      </c>
      <c r="J35" t="s">
        <v>489</v>
      </c>
      <c r="K35" t="s">
        <v>490</v>
      </c>
    </row>
    <row r="36" spans="1:11" x14ac:dyDescent="0.35">
      <c r="A36">
        <v>35</v>
      </c>
      <c r="B36" t="s">
        <v>491</v>
      </c>
      <c r="C36" t="s">
        <v>492</v>
      </c>
      <c r="D36" t="s">
        <v>492</v>
      </c>
      <c r="E36">
        <f>lang_families!A19</f>
        <v>18</v>
      </c>
      <c r="F36">
        <f>lang_scopes!A2</f>
        <v>1</v>
      </c>
      <c r="G36">
        <f>lang_scripts!A2</f>
        <v>1</v>
      </c>
      <c r="H36">
        <f>lang_types!A2</f>
        <v>1</v>
      </c>
      <c r="I36" t="s">
        <v>493</v>
      </c>
      <c r="J36" t="s">
        <v>494</v>
      </c>
      <c r="K36" t="s">
        <v>495</v>
      </c>
    </row>
    <row r="37" spans="1:11" x14ac:dyDescent="0.35">
      <c r="A37">
        <v>36</v>
      </c>
      <c r="B37" t="s">
        <v>496</v>
      </c>
      <c r="C37" t="s">
        <v>497</v>
      </c>
      <c r="D37" t="s">
        <v>497</v>
      </c>
      <c r="E37">
        <f>lang_families!A14</f>
        <v>13</v>
      </c>
      <c r="F37">
        <f>lang_scopes!A2</f>
        <v>1</v>
      </c>
      <c r="G37">
        <f>lang_scripts!A10</f>
        <v>9</v>
      </c>
      <c r="H37">
        <f>lang_types!A2</f>
        <v>1</v>
      </c>
      <c r="I37" t="s">
        <v>270</v>
      </c>
      <c r="J37" t="s">
        <v>498</v>
      </c>
      <c r="K37" t="s">
        <v>499</v>
      </c>
    </row>
    <row r="38" spans="1:11" x14ac:dyDescent="0.35">
      <c r="A38">
        <v>37</v>
      </c>
      <c r="B38" t="s">
        <v>500</v>
      </c>
      <c r="C38" t="s">
        <v>501</v>
      </c>
      <c r="D38" t="s">
        <v>501</v>
      </c>
      <c r="E38">
        <f>lang_families!A14</f>
        <v>13</v>
      </c>
      <c r="F38">
        <f>lang_scopes!A2</f>
        <v>1</v>
      </c>
      <c r="G38">
        <f>lang_scripts!A2</f>
        <v>1</v>
      </c>
      <c r="H38">
        <f>lang_types!A2</f>
        <v>1</v>
      </c>
      <c r="I38" t="s">
        <v>502</v>
      </c>
      <c r="J38" t="s">
        <v>502</v>
      </c>
      <c r="K38" t="s">
        <v>503</v>
      </c>
    </row>
    <row r="39" spans="1:11" x14ac:dyDescent="0.35">
      <c r="A39">
        <v>38</v>
      </c>
      <c r="B39" t="s">
        <v>504</v>
      </c>
      <c r="C39" t="s">
        <v>505</v>
      </c>
      <c r="D39" t="s">
        <v>505</v>
      </c>
      <c r="E39">
        <f>lang_families!A29</f>
        <v>28</v>
      </c>
      <c r="F39">
        <f>lang_scopes!A2</f>
        <v>1</v>
      </c>
      <c r="G39">
        <f>lang_scripts!A2</f>
        <v>1</v>
      </c>
      <c r="H39">
        <f>lang_types!A4</f>
        <v>3</v>
      </c>
      <c r="I39" t="s">
        <v>506</v>
      </c>
      <c r="J39" t="s">
        <v>506</v>
      </c>
      <c r="K39" t="s">
        <v>507</v>
      </c>
    </row>
    <row r="40" spans="1:11" x14ac:dyDescent="0.35">
      <c r="A40">
        <v>39</v>
      </c>
      <c r="B40" t="s">
        <v>508</v>
      </c>
      <c r="C40" t="s">
        <v>509</v>
      </c>
      <c r="D40" t="s">
        <v>509</v>
      </c>
      <c r="E40">
        <f>lang_families!A14</f>
        <v>13</v>
      </c>
      <c r="F40">
        <f>lang_scopes!A2</f>
        <v>1</v>
      </c>
      <c r="G40">
        <f>lang_scripts!A2</f>
        <v>1</v>
      </c>
      <c r="H40">
        <f>lang_types!A2</f>
        <v>1</v>
      </c>
      <c r="I40" t="s">
        <v>510</v>
      </c>
      <c r="J40" t="s">
        <v>511</v>
      </c>
      <c r="K40" t="s">
        <v>512</v>
      </c>
    </row>
    <row r="41" spans="1:11" x14ac:dyDescent="0.35">
      <c r="A41">
        <v>40</v>
      </c>
      <c r="B41" t="s">
        <v>513</v>
      </c>
      <c r="C41" t="s">
        <v>514</v>
      </c>
      <c r="D41" t="s">
        <v>514</v>
      </c>
      <c r="E41">
        <f>lang_families!A27</f>
        <v>26</v>
      </c>
      <c r="F41">
        <f>lang_scopes!A3</f>
        <v>2</v>
      </c>
      <c r="G41">
        <f>lang_scripts!A2</f>
        <v>1</v>
      </c>
      <c r="H41">
        <f>lang_types!A2</f>
        <v>1</v>
      </c>
      <c r="I41" t="s">
        <v>515</v>
      </c>
      <c r="J41" t="s">
        <v>516</v>
      </c>
      <c r="K41" t="s">
        <v>517</v>
      </c>
    </row>
    <row r="42" spans="1:11" x14ac:dyDescent="0.35">
      <c r="A42">
        <v>41</v>
      </c>
      <c r="B42" t="s">
        <v>518</v>
      </c>
      <c r="C42" t="s">
        <v>519</v>
      </c>
      <c r="D42" t="s">
        <v>519</v>
      </c>
      <c r="E42">
        <f>lang_families!A12</f>
        <v>11</v>
      </c>
      <c r="F42">
        <f>lang_scopes!A2</f>
        <v>1</v>
      </c>
      <c r="G42">
        <f>lang_scripts!A2</f>
        <v>1</v>
      </c>
      <c r="H42">
        <f>lang_types!A2</f>
        <v>1</v>
      </c>
      <c r="I42" t="s">
        <v>520</v>
      </c>
      <c r="J42" t="s">
        <v>521</v>
      </c>
      <c r="K42" t="s">
        <v>522</v>
      </c>
    </row>
    <row r="43" spans="1:11" x14ac:dyDescent="0.35">
      <c r="A43">
        <v>42</v>
      </c>
      <c r="B43" t="s">
        <v>523</v>
      </c>
      <c r="C43" t="s">
        <v>524</v>
      </c>
      <c r="D43" t="s">
        <v>524</v>
      </c>
      <c r="E43">
        <f>lang_families!A14</f>
        <v>13</v>
      </c>
      <c r="F43">
        <f>lang_scopes!A3</f>
        <v>2</v>
      </c>
      <c r="G43">
        <f>lang_scripts!A5</f>
        <v>4</v>
      </c>
      <c r="H43">
        <f>lang_types!A2</f>
        <v>1</v>
      </c>
      <c r="I43" t="s">
        <v>525</v>
      </c>
      <c r="J43" t="s">
        <v>526</v>
      </c>
      <c r="K43" t="s">
        <v>527</v>
      </c>
    </row>
    <row r="44" spans="1:11" x14ac:dyDescent="0.35">
      <c r="A44">
        <v>43</v>
      </c>
      <c r="B44" t="s">
        <v>528</v>
      </c>
      <c r="C44" t="s">
        <v>529</v>
      </c>
      <c r="D44" t="s">
        <v>529</v>
      </c>
      <c r="E44">
        <f>lang_families!A19</f>
        <v>18</v>
      </c>
      <c r="F44">
        <f>lang_scopes!A3</f>
        <v>2</v>
      </c>
      <c r="G44">
        <f>lang_scripts!A2</f>
        <v>1</v>
      </c>
      <c r="H44">
        <f>lang_types!A2</f>
        <v>1</v>
      </c>
      <c r="I44" t="s">
        <v>530</v>
      </c>
      <c r="J44" t="s">
        <v>531</v>
      </c>
      <c r="K44" t="s">
        <v>532</v>
      </c>
    </row>
    <row r="45" spans="1:11" x14ac:dyDescent="0.35">
      <c r="A45">
        <v>44</v>
      </c>
      <c r="B45" t="s">
        <v>533</v>
      </c>
      <c r="C45" t="s">
        <v>534</v>
      </c>
      <c r="D45" t="s">
        <v>534</v>
      </c>
      <c r="E45">
        <f>lang_families!A27</f>
        <v>26</v>
      </c>
      <c r="F45">
        <f>lang_scopes!A2</f>
        <v>1</v>
      </c>
      <c r="G45">
        <f>lang_scripts!A2</f>
        <v>1</v>
      </c>
      <c r="H45">
        <f>lang_types!A2</f>
        <v>1</v>
      </c>
      <c r="I45" t="s">
        <v>535</v>
      </c>
      <c r="J45" t="s">
        <v>536</v>
      </c>
      <c r="K45" t="s">
        <v>537</v>
      </c>
    </row>
    <row r="46" spans="1:11" x14ac:dyDescent="0.35">
      <c r="A46">
        <v>45</v>
      </c>
      <c r="B46" t="s">
        <v>538</v>
      </c>
      <c r="C46" t="s">
        <v>539</v>
      </c>
      <c r="D46" t="s">
        <v>539</v>
      </c>
      <c r="E46">
        <f>lang_families!A17</f>
        <v>16</v>
      </c>
      <c r="F46">
        <f>lang_scopes!A2</f>
        <v>1</v>
      </c>
      <c r="G46">
        <f>lang_scripts!A2</f>
        <v>1</v>
      </c>
      <c r="H46">
        <f>lang_types!A2</f>
        <v>1</v>
      </c>
      <c r="I46" t="s">
        <v>540</v>
      </c>
      <c r="J46" t="s">
        <v>541</v>
      </c>
      <c r="K46" t="s">
        <v>542</v>
      </c>
    </row>
    <row r="47" spans="1:11" x14ac:dyDescent="0.35">
      <c r="A47">
        <v>46</v>
      </c>
      <c r="B47" t="s">
        <v>543</v>
      </c>
      <c r="C47" t="s">
        <v>544</v>
      </c>
      <c r="D47" t="s">
        <v>544</v>
      </c>
      <c r="E47">
        <f>lang_families!A14</f>
        <v>13</v>
      </c>
      <c r="F47">
        <f>lang_scopes!A2</f>
        <v>1</v>
      </c>
      <c r="G47">
        <f>lang_scripts!A2</f>
        <v>1</v>
      </c>
      <c r="H47">
        <f>lang_types!A2</f>
        <v>1</v>
      </c>
      <c r="I47" t="s">
        <v>545</v>
      </c>
      <c r="J47" t="s">
        <v>546</v>
      </c>
      <c r="K47" t="s">
        <v>547</v>
      </c>
    </row>
    <row r="48" spans="1:11" x14ac:dyDescent="0.35">
      <c r="A48">
        <v>47</v>
      </c>
      <c r="B48" t="s">
        <v>548</v>
      </c>
      <c r="C48" t="s">
        <v>549</v>
      </c>
      <c r="D48" t="s">
        <v>549</v>
      </c>
      <c r="E48">
        <f>lang_families!A14</f>
        <v>13</v>
      </c>
      <c r="F48">
        <f>lang_scopes!A2</f>
        <v>1</v>
      </c>
      <c r="G48">
        <f>lang_scripts!A2</f>
        <v>1</v>
      </c>
      <c r="H48">
        <f>lang_types!A2</f>
        <v>1</v>
      </c>
      <c r="I48" t="s">
        <v>550</v>
      </c>
      <c r="J48" t="s">
        <v>551</v>
      </c>
      <c r="K48" t="s">
        <v>552</v>
      </c>
    </row>
    <row r="49" spans="1:11" x14ac:dyDescent="0.35">
      <c r="A49">
        <v>48</v>
      </c>
      <c r="B49" t="s">
        <v>553</v>
      </c>
      <c r="C49" t="s">
        <v>554</v>
      </c>
      <c r="D49" t="s">
        <v>554</v>
      </c>
      <c r="E49">
        <f>lang_families!A14</f>
        <v>13</v>
      </c>
      <c r="F49">
        <f>lang_scopes!A2</f>
        <v>1</v>
      </c>
      <c r="G49">
        <f>lang_scripts!A2</f>
        <v>1</v>
      </c>
      <c r="H49">
        <f>lang_types!A2</f>
        <v>1</v>
      </c>
      <c r="I49" t="s">
        <v>555</v>
      </c>
      <c r="J49" t="s">
        <v>556</v>
      </c>
      <c r="K49" t="s">
        <v>557</v>
      </c>
    </row>
    <row r="50" spans="1:11" x14ac:dyDescent="0.35">
      <c r="A50">
        <v>49</v>
      </c>
      <c r="B50" t="s">
        <v>558</v>
      </c>
      <c r="C50" t="s">
        <v>559</v>
      </c>
      <c r="D50" t="s">
        <v>559</v>
      </c>
      <c r="E50">
        <f>lang_families!A14</f>
        <v>13</v>
      </c>
      <c r="F50">
        <f>lang_scopes!A2</f>
        <v>1</v>
      </c>
      <c r="G50">
        <f>lang_scripts!A2</f>
        <v>1</v>
      </c>
      <c r="H50">
        <f>lang_types!A2</f>
        <v>1</v>
      </c>
      <c r="I50" t="s">
        <v>560</v>
      </c>
      <c r="J50" t="s">
        <v>561</v>
      </c>
      <c r="K50" t="s">
        <v>562</v>
      </c>
    </row>
    <row r="51" spans="1:11" x14ac:dyDescent="0.35">
      <c r="A51">
        <v>50</v>
      </c>
      <c r="B51" t="s">
        <v>563</v>
      </c>
      <c r="C51" t="s">
        <v>564</v>
      </c>
      <c r="D51" t="s">
        <v>564</v>
      </c>
      <c r="E51">
        <f>lang_families!A14</f>
        <v>13</v>
      </c>
      <c r="F51">
        <f>lang_scopes!A2</f>
        <v>1</v>
      </c>
      <c r="G51">
        <f>lang_scripts!A2</f>
        <v>1</v>
      </c>
      <c r="H51">
        <f>lang_types!A2</f>
        <v>1</v>
      </c>
      <c r="I51" t="s">
        <v>565</v>
      </c>
      <c r="J51" t="s">
        <v>566</v>
      </c>
      <c r="K51" t="s">
        <v>567</v>
      </c>
    </row>
    <row r="52" spans="1:11" x14ac:dyDescent="0.35">
      <c r="A52">
        <v>51</v>
      </c>
      <c r="B52" t="s">
        <v>568</v>
      </c>
      <c r="C52" t="s">
        <v>569</v>
      </c>
      <c r="D52" t="s">
        <v>569</v>
      </c>
      <c r="E52">
        <f>lang_families!A14</f>
        <v>13</v>
      </c>
      <c r="F52">
        <f>lang_scopes!A2</f>
        <v>1</v>
      </c>
      <c r="G52">
        <f>lang_scripts!A2</f>
        <v>1</v>
      </c>
      <c r="H52">
        <f>lang_types!A2</f>
        <v>1</v>
      </c>
      <c r="I52" t="s">
        <v>570</v>
      </c>
      <c r="J52" t="s">
        <v>571</v>
      </c>
      <c r="K52" t="s">
        <v>572</v>
      </c>
    </row>
    <row r="53" spans="1:11" x14ac:dyDescent="0.35">
      <c r="A53">
        <v>52</v>
      </c>
      <c r="B53" t="s">
        <v>573</v>
      </c>
      <c r="C53" t="s">
        <v>574</v>
      </c>
      <c r="D53" t="s">
        <v>574</v>
      </c>
      <c r="E53">
        <f>lang_families!A79</f>
        <v>78</v>
      </c>
      <c r="F53">
        <f>lang_scopes!A3</f>
        <v>2</v>
      </c>
      <c r="G53">
        <f>lang_scripts!A2</f>
        <v>1</v>
      </c>
      <c r="H53">
        <f>lang_types!A2</f>
        <v>1</v>
      </c>
      <c r="I53" t="s">
        <v>575</v>
      </c>
      <c r="J53" t="s">
        <v>576</v>
      </c>
      <c r="K53" t="s">
        <v>577</v>
      </c>
    </row>
    <row r="54" spans="1:11" x14ac:dyDescent="0.35">
      <c r="A54">
        <v>53</v>
      </c>
      <c r="B54" t="s">
        <v>578</v>
      </c>
      <c r="C54" t="s">
        <v>579</v>
      </c>
      <c r="D54" t="s">
        <v>579</v>
      </c>
      <c r="E54">
        <f>lang_families!A14</f>
        <v>13</v>
      </c>
      <c r="F54">
        <f>lang_scopes!A2</f>
        <v>1</v>
      </c>
      <c r="G54">
        <f>lang_scripts!A11</f>
        <v>10</v>
      </c>
      <c r="H54">
        <f>lang_types!A2</f>
        <v>1</v>
      </c>
      <c r="I54" t="s">
        <v>272</v>
      </c>
      <c r="J54" t="s">
        <v>580</v>
      </c>
      <c r="K54" t="s">
        <v>581</v>
      </c>
    </row>
    <row r="55" spans="1:11" x14ac:dyDescent="0.35">
      <c r="A55">
        <v>54</v>
      </c>
      <c r="B55" t="s">
        <v>582</v>
      </c>
      <c r="C55" t="s">
        <v>583</v>
      </c>
      <c r="D55" t="s">
        <v>583</v>
      </c>
      <c r="E55">
        <f>lang_families!A14</f>
        <v>13</v>
      </c>
      <c r="F55">
        <f>lang_scopes!A2</f>
        <v>1</v>
      </c>
      <c r="G55">
        <f>lang_scripts!A2</f>
        <v>1</v>
      </c>
      <c r="H55">
        <f>lang_types!A2</f>
        <v>1</v>
      </c>
      <c r="I55" t="s">
        <v>584</v>
      </c>
      <c r="J55" t="s">
        <v>585</v>
      </c>
      <c r="K55" t="s">
        <v>586</v>
      </c>
    </row>
    <row r="56" spans="1:11" x14ac:dyDescent="0.35">
      <c r="A56">
        <v>55</v>
      </c>
      <c r="B56" t="s">
        <v>587</v>
      </c>
      <c r="C56" t="s">
        <v>588</v>
      </c>
      <c r="D56" t="s">
        <v>588</v>
      </c>
      <c r="E56">
        <f>lang_families!A3</f>
        <v>2</v>
      </c>
      <c r="F56">
        <f>lang_scopes!A2</f>
        <v>1</v>
      </c>
      <c r="G56">
        <f>lang_scripts!A2</f>
        <v>1</v>
      </c>
      <c r="H56">
        <f>lang_types!A2</f>
        <v>1</v>
      </c>
      <c r="I56" t="s">
        <v>589</v>
      </c>
      <c r="J56" t="s">
        <v>589</v>
      </c>
      <c r="K56" t="s">
        <v>590</v>
      </c>
    </row>
    <row r="57" spans="1:11" x14ac:dyDescent="0.35">
      <c r="A57">
        <v>56</v>
      </c>
      <c r="B57" t="s">
        <v>591</v>
      </c>
      <c r="C57" t="s">
        <v>592</v>
      </c>
      <c r="D57" t="s">
        <v>592</v>
      </c>
      <c r="E57">
        <f>lang_families!A3</f>
        <v>2</v>
      </c>
      <c r="F57">
        <f>lang_scopes!A2</f>
        <v>1</v>
      </c>
      <c r="G57">
        <f>lang_scripts!A12</f>
        <v>11</v>
      </c>
      <c r="H57">
        <f>lang_types!A2</f>
        <v>1</v>
      </c>
      <c r="I57" t="s">
        <v>274</v>
      </c>
      <c r="J57" t="s">
        <v>593</v>
      </c>
      <c r="K57" t="s">
        <v>594</v>
      </c>
    </row>
    <row r="58" spans="1:11" x14ac:dyDescent="0.35">
      <c r="A58">
        <v>57</v>
      </c>
      <c r="B58" t="s">
        <v>595</v>
      </c>
      <c r="C58" t="s">
        <v>596</v>
      </c>
      <c r="D58" t="s">
        <v>596</v>
      </c>
      <c r="E58">
        <f>lang_families!A14</f>
        <v>13</v>
      </c>
      <c r="F58">
        <f>lang_scopes!A2</f>
        <v>1</v>
      </c>
      <c r="G58">
        <f>lang_scripts!A13</f>
        <v>12</v>
      </c>
      <c r="H58">
        <f>lang_types!A2</f>
        <v>1</v>
      </c>
      <c r="I58" t="s">
        <v>597</v>
      </c>
      <c r="J58" t="s">
        <v>598</v>
      </c>
      <c r="K58" t="s">
        <v>599</v>
      </c>
    </row>
    <row r="59" spans="1:11" x14ac:dyDescent="0.35">
      <c r="A59">
        <v>58</v>
      </c>
      <c r="B59" t="s">
        <v>600</v>
      </c>
      <c r="C59" t="s">
        <v>601</v>
      </c>
      <c r="D59" t="s">
        <v>601</v>
      </c>
      <c r="E59">
        <f>lang_families!A17</f>
        <v>16</v>
      </c>
      <c r="F59">
        <f>lang_scopes!A2</f>
        <v>1</v>
      </c>
      <c r="G59">
        <f>lang_scripts!A2</f>
        <v>1</v>
      </c>
      <c r="H59">
        <f>lang_types!A2</f>
        <v>1</v>
      </c>
      <c r="I59" t="s">
        <v>602</v>
      </c>
      <c r="J59" t="s">
        <v>602</v>
      </c>
      <c r="K59" t="s">
        <v>603</v>
      </c>
    </row>
    <row r="60" spans="1:11" x14ac:dyDescent="0.35">
      <c r="A60">
        <v>59</v>
      </c>
      <c r="B60" t="s">
        <v>604</v>
      </c>
      <c r="C60" t="s">
        <v>605</v>
      </c>
      <c r="D60" t="s">
        <v>605</v>
      </c>
      <c r="E60">
        <f>lang_families!A14</f>
        <v>13</v>
      </c>
      <c r="F60">
        <f>lang_scopes!A2</f>
        <v>1</v>
      </c>
      <c r="G60">
        <f>lang_scripts!A2</f>
        <v>1</v>
      </c>
      <c r="H60">
        <f>lang_types!A2</f>
        <v>1</v>
      </c>
      <c r="I60" t="s">
        <v>606</v>
      </c>
      <c r="J60" t="s">
        <v>607</v>
      </c>
      <c r="K60" t="s">
        <v>608</v>
      </c>
    </row>
    <row r="61" spans="1:11" x14ac:dyDescent="0.35">
      <c r="A61">
        <v>60</v>
      </c>
      <c r="B61" t="s">
        <v>609</v>
      </c>
      <c r="C61" t="s">
        <v>610</v>
      </c>
      <c r="D61" t="s">
        <v>610</v>
      </c>
      <c r="E61">
        <f>lang_families!A45</f>
        <v>44</v>
      </c>
      <c r="F61">
        <f>lang_scopes!A2</f>
        <v>1</v>
      </c>
      <c r="G61">
        <f>lang_scripts!A2</f>
        <v>1</v>
      </c>
      <c r="H61">
        <f>lang_types!A2</f>
        <v>1</v>
      </c>
      <c r="I61" t="s">
        <v>611</v>
      </c>
      <c r="J61" t="s">
        <v>612</v>
      </c>
      <c r="K61" t="s">
        <v>613</v>
      </c>
    </row>
    <row r="62" spans="1:11" x14ac:dyDescent="0.35">
      <c r="A62">
        <v>61</v>
      </c>
      <c r="B62" t="s">
        <v>614</v>
      </c>
      <c r="C62" t="s">
        <v>615</v>
      </c>
      <c r="D62" t="s">
        <v>615</v>
      </c>
      <c r="E62">
        <f>lang_families!A27</f>
        <v>26</v>
      </c>
      <c r="F62">
        <f>lang_scopes!A2</f>
        <v>1</v>
      </c>
      <c r="G62">
        <f>lang_scripts!A2</f>
        <v>1</v>
      </c>
      <c r="H62">
        <f>lang_types!A2</f>
        <v>1</v>
      </c>
      <c r="I62" t="s">
        <v>616</v>
      </c>
      <c r="J62" t="s">
        <v>617</v>
      </c>
      <c r="K62" t="s">
        <v>618</v>
      </c>
    </row>
    <row r="63" spans="1:11" x14ac:dyDescent="0.35">
      <c r="A63">
        <v>62</v>
      </c>
      <c r="B63" t="s">
        <v>619</v>
      </c>
      <c r="C63" t="s">
        <v>620</v>
      </c>
      <c r="D63" t="s">
        <v>620</v>
      </c>
      <c r="E63">
        <f>lang_families!A14</f>
        <v>13</v>
      </c>
      <c r="F63">
        <f>lang_scopes!A2</f>
        <v>1</v>
      </c>
      <c r="G63">
        <f>lang_scripts!A14</f>
        <v>13</v>
      </c>
      <c r="H63">
        <f>lang_types!A2</f>
        <v>1</v>
      </c>
      <c r="I63" t="s">
        <v>278</v>
      </c>
      <c r="J63" t="s">
        <v>621</v>
      </c>
      <c r="K63" t="s">
        <v>622</v>
      </c>
    </row>
    <row r="64" spans="1:11" x14ac:dyDescent="0.35">
      <c r="A64">
        <v>63</v>
      </c>
      <c r="B64" t="s">
        <v>623</v>
      </c>
      <c r="C64" t="s">
        <v>624</v>
      </c>
      <c r="D64" t="s">
        <v>624</v>
      </c>
      <c r="E64">
        <f>lang_families!A19</f>
        <v>18</v>
      </c>
      <c r="F64">
        <f>lang_scopes!A2</f>
        <v>1</v>
      </c>
      <c r="G64">
        <f>lang_scripts!A2</f>
        <v>1</v>
      </c>
      <c r="H64">
        <f>lang_types!A2</f>
        <v>1</v>
      </c>
      <c r="I64" t="s">
        <v>625</v>
      </c>
      <c r="J64" t="s">
        <v>626</v>
      </c>
      <c r="K64" t="s">
        <v>627</v>
      </c>
    </row>
    <row r="65" spans="1:11" x14ac:dyDescent="0.35">
      <c r="A65">
        <v>64</v>
      </c>
      <c r="B65" t="s">
        <v>628</v>
      </c>
      <c r="C65" t="s">
        <v>629</v>
      </c>
      <c r="D65" t="s">
        <v>629</v>
      </c>
      <c r="E65">
        <f>lang_families!A29</f>
        <v>28</v>
      </c>
      <c r="F65">
        <f>lang_scopes!A2</f>
        <v>1</v>
      </c>
      <c r="G65">
        <f>lang_scripts!A2</f>
        <v>1</v>
      </c>
      <c r="H65">
        <f>lang_types!A4</f>
        <v>3</v>
      </c>
      <c r="I65" t="s">
        <v>630</v>
      </c>
      <c r="J65" t="s">
        <v>630</v>
      </c>
      <c r="K65" t="s">
        <v>631</v>
      </c>
    </row>
    <row r="66" spans="1:11" x14ac:dyDescent="0.35">
      <c r="A66">
        <v>65</v>
      </c>
      <c r="B66" t="s">
        <v>0</v>
      </c>
      <c r="C66" t="s">
        <v>632</v>
      </c>
      <c r="D66" t="s">
        <v>632</v>
      </c>
      <c r="E66">
        <f>lang_families!A17</f>
        <v>16</v>
      </c>
      <c r="F66">
        <f>lang_scopes!A2</f>
        <v>1</v>
      </c>
      <c r="G66">
        <f>lang_scripts!A2</f>
        <v>1</v>
      </c>
      <c r="H66">
        <f>lang_types!A2</f>
        <v>1</v>
      </c>
      <c r="I66" t="s">
        <v>633</v>
      </c>
      <c r="J66" t="s">
        <v>634</v>
      </c>
      <c r="K66" t="s">
        <v>635</v>
      </c>
    </row>
    <row r="67" spans="1:11" x14ac:dyDescent="0.35">
      <c r="A67">
        <v>66</v>
      </c>
      <c r="B67" t="s">
        <v>636</v>
      </c>
      <c r="C67" t="s">
        <v>637</v>
      </c>
      <c r="D67" t="s">
        <v>637</v>
      </c>
      <c r="E67">
        <f>lang_families!A29</f>
        <v>28</v>
      </c>
      <c r="F67">
        <f>lang_scopes!A2</f>
        <v>1</v>
      </c>
      <c r="G67">
        <f>lang_scripts!A2</f>
        <v>1</v>
      </c>
      <c r="H67">
        <f>lang_types!A4</f>
        <v>3</v>
      </c>
      <c r="I67" t="s">
        <v>638</v>
      </c>
      <c r="J67" t="s">
        <v>638</v>
      </c>
      <c r="K67" t="s">
        <v>639</v>
      </c>
    </row>
    <row r="68" spans="1:11" x14ac:dyDescent="0.35">
      <c r="A68">
        <v>67</v>
      </c>
      <c r="B68" t="s">
        <v>640</v>
      </c>
      <c r="C68" t="s">
        <v>641</v>
      </c>
      <c r="D68" t="s">
        <v>641</v>
      </c>
      <c r="E68">
        <f>lang_families!A19</f>
        <v>18</v>
      </c>
      <c r="F68">
        <f>lang_scopes!A2</f>
        <v>1</v>
      </c>
      <c r="G68">
        <f>lang_scripts!A2</f>
        <v>1</v>
      </c>
      <c r="H68">
        <f>lang_types!A2</f>
        <v>1</v>
      </c>
      <c r="I68" t="s">
        <v>642</v>
      </c>
      <c r="J68" t="s">
        <v>642</v>
      </c>
      <c r="K68" t="s">
        <v>643</v>
      </c>
    </row>
    <row r="69" spans="1:11" x14ac:dyDescent="0.35">
      <c r="A69">
        <v>68</v>
      </c>
      <c r="B69" t="s">
        <v>644</v>
      </c>
      <c r="C69" t="s">
        <v>645</v>
      </c>
      <c r="D69" t="s">
        <v>645</v>
      </c>
      <c r="E69">
        <f>lang_families!A23</f>
        <v>22</v>
      </c>
      <c r="F69">
        <f>lang_scopes!A2</f>
        <v>1</v>
      </c>
      <c r="G69">
        <f>lang_scripts!A15</f>
        <v>14</v>
      </c>
      <c r="H69">
        <f>lang_types!A2</f>
        <v>1</v>
      </c>
      <c r="I69" t="s">
        <v>646</v>
      </c>
      <c r="J69" t="s">
        <v>647</v>
      </c>
      <c r="K69" t="s">
        <v>648</v>
      </c>
    </row>
    <row r="70" spans="1:11" x14ac:dyDescent="0.35">
      <c r="A70">
        <v>69</v>
      </c>
      <c r="B70" t="s">
        <v>649</v>
      </c>
      <c r="C70" t="s">
        <v>650</v>
      </c>
      <c r="D70" t="s">
        <v>650</v>
      </c>
      <c r="E70">
        <f>lang_families!A11</f>
        <v>10</v>
      </c>
      <c r="F70">
        <f>lang_scopes!A3</f>
        <v>2</v>
      </c>
      <c r="G70">
        <f>lang_scripts!A2</f>
        <v>1</v>
      </c>
      <c r="H70">
        <f>lang_types!A2</f>
        <v>1</v>
      </c>
      <c r="I70" t="s">
        <v>651</v>
      </c>
      <c r="J70" t="s">
        <v>652</v>
      </c>
      <c r="K70" t="s">
        <v>653</v>
      </c>
    </row>
    <row r="71" spans="1:11" x14ac:dyDescent="0.35">
      <c r="A71">
        <v>70</v>
      </c>
      <c r="B71" t="s">
        <v>654</v>
      </c>
      <c r="C71" t="s">
        <v>655</v>
      </c>
      <c r="D71" t="s">
        <v>655</v>
      </c>
      <c r="E71">
        <f>lang_families!A29</f>
        <v>28</v>
      </c>
      <c r="F71">
        <f>lang_scopes!A2</f>
        <v>1</v>
      </c>
      <c r="G71">
        <f>lang_scripts!A2</f>
        <v>1</v>
      </c>
      <c r="H71">
        <f>lang_types!A4</f>
        <v>3</v>
      </c>
      <c r="I71" t="s">
        <v>656</v>
      </c>
      <c r="J71" t="s">
        <v>656</v>
      </c>
      <c r="K71" t="s">
        <v>657</v>
      </c>
    </row>
    <row r="72" spans="1:11" x14ac:dyDescent="0.35">
      <c r="A72">
        <v>71</v>
      </c>
      <c r="B72" t="s">
        <v>658</v>
      </c>
      <c r="C72" t="s">
        <v>659</v>
      </c>
      <c r="D72" t="s">
        <v>659</v>
      </c>
      <c r="E72">
        <f>lang_families!A14</f>
        <v>13</v>
      </c>
      <c r="F72">
        <f>lang_scopes!A2</f>
        <v>1</v>
      </c>
      <c r="G72">
        <f>lang_scripts!A2</f>
        <v>1</v>
      </c>
      <c r="H72">
        <f>lang_types!A2</f>
        <v>1</v>
      </c>
      <c r="I72" t="s">
        <v>660</v>
      </c>
      <c r="J72" t="s">
        <v>661</v>
      </c>
      <c r="K72" t="s">
        <v>662</v>
      </c>
    </row>
    <row r="73" spans="1:11" x14ac:dyDescent="0.35">
      <c r="A73">
        <v>72</v>
      </c>
      <c r="B73" t="s">
        <v>663</v>
      </c>
      <c r="C73" t="s">
        <v>664</v>
      </c>
      <c r="D73" t="s">
        <v>664</v>
      </c>
      <c r="E73">
        <f>lang_families!A14</f>
        <v>13</v>
      </c>
      <c r="F73">
        <f>lang_scopes!A2</f>
        <v>1</v>
      </c>
      <c r="G73">
        <f>lang_scripts!A2</f>
        <v>1</v>
      </c>
      <c r="H73">
        <f>lang_types!A2</f>
        <v>1</v>
      </c>
      <c r="I73" t="s">
        <v>665</v>
      </c>
      <c r="J73" t="s">
        <v>666</v>
      </c>
      <c r="K73" t="s">
        <v>667</v>
      </c>
    </row>
    <row r="74" spans="1:11" x14ac:dyDescent="0.35">
      <c r="A74">
        <v>73</v>
      </c>
      <c r="B74" t="s">
        <v>668</v>
      </c>
      <c r="C74" t="s">
        <v>669</v>
      </c>
      <c r="D74" t="s">
        <v>669</v>
      </c>
      <c r="E74">
        <f>lang_families!A11</f>
        <v>10</v>
      </c>
      <c r="F74">
        <f>lang_scopes!A3</f>
        <v>2</v>
      </c>
      <c r="G74">
        <f>lang_scripts!A8</f>
        <v>7</v>
      </c>
      <c r="H74">
        <f>lang_types!A2</f>
        <v>1</v>
      </c>
      <c r="I74" t="s">
        <v>670</v>
      </c>
      <c r="J74" t="s">
        <v>671</v>
      </c>
      <c r="K74" t="s">
        <v>672</v>
      </c>
    </row>
    <row r="75" spans="1:11" x14ac:dyDescent="0.35">
      <c r="A75">
        <v>74</v>
      </c>
      <c r="B75" t="s">
        <v>673</v>
      </c>
      <c r="C75" t="s">
        <v>674</v>
      </c>
      <c r="D75" t="s">
        <v>674</v>
      </c>
      <c r="E75">
        <f>lang_families!A15</f>
        <v>14</v>
      </c>
      <c r="F75">
        <f>lang_scopes!A2</f>
        <v>1</v>
      </c>
      <c r="G75">
        <f>lang_scripts!A16</f>
        <v>15</v>
      </c>
      <c r="H75">
        <f>lang_types!A2</f>
        <v>1</v>
      </c>
      <c r="I75" t="s">
        <v>675</v>
      </c>
      <c r="J75" t="s">
        <v>676</v>
      </c>
      <c r="K75" t="s">
        <v>677</v>
      </c>
    </row>
    <row r="76" spans="1:11" x14ac:dyDescent="0.35">
      <c r="A76">
        <v>75</v>
      </c>
      <c r="B76" t="s">
        <v>678</v>
      </c>
      <c r="C76" t="s">
        <v>679</v>
      </c>
      <c r="D76" t="s">
        <v>679</v>
      </c>
      <c r="E76">
        <f>lang_families!A17</f>
        <v>16</v>
      </c>
      <c r="F76">
        <f>lang_scopes!A2</f>
        <v>1</v>
      </c>
      <c r="G76">
        <f>lang_scripts!A2</f>
        <v>1</v>
      </c>
      <c r="H76">
        <f>lang_types!A2</f>
        <v>1</v>
      </c>
      <c r="I76" t="s">
        <v>680</v>
      </c>
      <c r="J76" t="s">
        <v>681</v>
      </c>
      <c r="K76" t="s">
        <v>682</v>
      </c>
    </row>
    <row r="77" spans="1:11" x14ac:dyDescent="0.35">
      <c r="A77">
        <v>76</v>
      </c>
      <c r="B77" t="s">
        <v>683</v>
      </c>
      <c r="C77" t="s">
        <v>684</v>
      </c>
      <c r="D77" t="s">
        <v>684</v>
      </c>
      <c r="E77">
        <f>lang_families!A40</f>
        <v>39</v>
      </c>
      <c r="F77">
        <f>lang_scopes!A2</f>
        <v>1</v>
      </c>
      <c r="G77">
        <f>lang_scripts!A17</f>
        <v>16</v>
      </c>
      <c r="H77">
        <f>lang_types!A2</f>
        <v>1</v>
      </c>
      <c r="I77" t="s">
        <v>685</v>
      </c>
      <c r="J77" t="s">
        <v>686</v>
      </c>
      <c r="K77" t="s">
        <v>687</v>
      </c>
    </row>
    <row r="78" spans="1:11" x14ac:dyDescent="0.35">
      <c r="A78">
        <v>77</v>
      </c>
      <c r="B78" t="s">
        <v>688</v>
      </c>
      <c r="C78" t="s">
        <v>689</v>
      </c>
      <c r="D78" t="s">
        <v>689</v>
      </c>
      <c r="E78">
        <f>lang_families!A19</f>
        <v>18</v>
      </c>
      <c r="F78">
        <f>lang_scopes!A3</f>
        <v>2</v>
      </c>
      <c r="G78">
        <f>lang_scripts!A2</f>
        <v>1</v>
      </c>
      <c r="H78">
        <f>lang_types!A2</f>
        <v>1</v>
      </c>
      <c r="I78" t="s">
        <v>690</v>
      </c>
      <c r="J78" t="s">
        <v>691</v>
      </c>
      <c r="K78" t="s">
        <v>692</v>
      </c>
    </row>
    <row r="79" spans="1:11" x14ac:dyDescent="0.35">
      <c r="A79">
        <v>78</v>
      </c>
      <c r="B79" t="s">
        <v>693</v>
      </c>
      <c r="C79" t="s">
        <v>694</v>
      </c>
      <c r="D79" t="s">
        <v>694</v>
      </c>
      <c r="E79">
        <f>lang_families!A19</f>
        <v>18</v>
      </c>
      <c r="F79">
        <f>lang_scopes!A2</f>
        <v>1</v>
      </c>
      <c r="G79">
        <f>lang_scripts!A2</f>
        <v>1</v>
      </c>
      <c r="H79">
        <f>lang_types!A2</f>
        <v>1</v>
      </c>
      <c r="I79" t="s">
        <v>695</v>
      </c>
      <c r="J79" t="s">
        <v>696</v>
      </c>
      <c r="K79" t="s">
        <v>697</v>
      </c>
    </row>
    <row r="80" spans="1:11" x14ac:dyDescent="0.35">
      <c r="A80">
        <v>79</v>
      </c>
      <c r="B80" t="s">
        <v>698</v>
      </c>
      <c r="C80" t="s">
        <v>699</v>
      </c>
      <c r="D80" t="s">
        <v>699</v>
      </c>
      <c r="E80">
        <f>lang_families!A19</f>
        <v>18</v>
      </c>
      <c r="F80">
        <f>lang_scopes!A2</f>
        <v>1</v>
      </c>
      <c r="G80">
        <f>lang_scripts!A2</f>
        <v>1</v>
      </c>
      <c r="H80">
        <f>lang_types!A2</f>
        <v>1</v>
      </c>
      <c r="I80" t="s">
        <v>700</v>
      </c>
      <c r="J80" t="s">
        <v>701</v>
      </c>
      <c r="K80" t="s">
        <v>702</v>
      </c>
    </row>
    <row r="81" spans="1:11" x14ac:dyDescent="0.35">
      <c r="A81">
        <v>80</v>
      </c>
      <c r="B81" t="s">
        <v>703</v>
      </c>
      <c r="C81" t="s">
        <v>704</v>
      </c>
      <c r="D81" t="s">
        <v>704</v>
      </c>
      <c r="E81">
        <f>lang_families!A78</f>
        <v>77</v>
      </c>
      <c r="F81">
        <f>lang_scopes!A2</f>
        <v>1</v>
      </c>
      <c r="G81">
        <f>lang_scripts!A3</f>
        <v>2</v>
      </c>
      <c r="H81">
        <f>lang_types!A2</f>
        <v>1</v>
      </c>
      <c r="I81" t="s">
        <v>705</v>
      </c>
      <c r="J81" t="s">
        <v>706</v>
      </c>
      <c r="K81" t="s">
        <v>707</v>
      </c>
    </row>
    <row r="82" spans="1:11" x14ac:dyDescent="0.35">
      <c r="A82">
        <v>81</v>
      </c>
      <c r="B82" t="s">
        <v>708</v>
      </c>
      <c r="C82" t="s">
        <v>709</v>
      </c>
      <c r="D82" t="s">
        <v>709</v>
      </c>
      <c r="E82">
        <f>lang_families!A11</f>
        <v>10</v>
      </c>
      <c r="F82">
        <f>lang_scopes!A2</f>
        <v>1</v>
      </c>
      <c r="G82">
        <f>lang_scripts!A2</f>
        <v>1</v>
      </c>
      <c r="H82">
        <f>lang_types!A2</f>
        <v>1</v>
      </c>
      <c r="I82" t="s">
        <v>710</v>
      </c>
      <c r="J82" t="s">
        <v>710</v>
      </c>
      <c r="K82" t="s">
        <v>711</v>
      </c>
    </row>
    <row r="83" spans="1:11" x14ac:dyDescent="0.35">
      <c r="A83">
        <v>82</v>
      </c>
      <c r="B83" t="s">
        <v>712</v>
      </c>
      <c r="C83" t="s">
        <v>713</v>
      </c>
      <c r="D83" t="s">
        <v>713</v>
      </c>
      <c r="E83">
        <f>lang_families!A2</f>
        <v>1</v>
      </c>
      <c r="F83">
        <f>lang_scopes!A2</f>
        <v>1</v>
      </c>
      <c r="G83">
        <f>lang_scripts!A18</f>
        <v>17</v>
      </c>
      <c r="H83">
        <f>lang_types!A2</f>
        <v>1</v>
      </c>
      <c r="I83" t="s">
        <v>286</v>
      </c>
      <c r="J83" t="s">
        <v>714</v>
      </c>
      <c r="K83" t="s">
        <v>715</v>
      </c>
    </row>
    <row r="84" spans="1:11" x14ac:dyDescent="0.35">
      <c r="A84">
        <v>83</v>
      </c>
      <c r="B84" t="s">
        <v>716</v>
      </c>
      <c r="C84" t="s">
        <v>717</v>
      </c>
      <c r="D84" t="s">
        <v>717</v>
      </c>
      <c r="E84">
        <f>lang_families!A10</f>
        <v>9</v>
      </c>
      <c r="F84">
        <f>lang_scopes!A2</f>
        <v>1</v>
      </c>
      <c r="G84">
        <f>lang_scripts!A19</f>
        <v>18</v>
      </c>
      <c r="H84">
        <f>lang_types!A2</f>
        <v>1</v>
      </c>
      <c r="I84" t="s">
        <v>288</v>
      </c>
      <c r="J84" t="s">
        <v>718</v>
      </c>
      <c r="K84" t="s">
        <v>719</v>
      </c>
    </row>
    <row r="85" spans="1:11" x14ac:dyDescent="0.35">
      <c r="A85">
        <v>84</v>
      </c>
      <c r="B85" t="s">
        <v>720</v>
      </c>
      <c r="C85" t="s">
        <v>60</v>
      </c>
      <c r="D85" t="s">
        <v>60</v>
      </c>
      <c r="E85">
        <f>lang_families!A30</f>
        <v>29</v>
      </c>
      <c r="F85">
        <f>lang_scopes!A2</f>
        <v>1</v>
      </c>
      <c r="G85">
        <f>lang_scripts!A20</f>
        <v>19</v>
      </c>
      <c r="H85">
        <f>lang_types!A2</f>
        <v>1</v>
      </c>
      <c r="I85" t="s">
        <v>721</v>
      </c>
      <c r="J85" t="s">
        <v>722</v>
      </c>
      <c r="K85" t="s">
        <v>723</v>
      </c>
    </row>
    <row r="86" spans="1:11" x14ac:dyDescent="0.35">
      <c r="A86">
        <v>85</v>
      </c>
      <c r="B86" t="s">
        <v>724</v>
      </c>
      <c r="C86" t="s">
        <v>725</v>
      </c>
      <c r="D86" t="s">
        <v>725</v>
      </c>
      <c r="E86">
        <f>lang_families!A24</f>
        <v>23</v>
      </c>
      <c r="F86">
        <f>lang_scopes!A3</f>
        <v>2</v>
      </c>
      <c r="G86">
        <f>lang_scripts!A2</f>
        <v>1</v>
      </c>
      <c r="H86">
        <f>lang_types!A2</f>
        <v>1</v>
      </c>
      <c r="I86" t="s">
        <v>726</v>
      </c>
      <c r="J86" t="s">
        <v>726</v>
      </c>
      <c r="K86" t="s">
        <v>727</v>
      </c>
    </row>
    <row r="87" spans="1:11" x14ac:dyDescent="0.35">
      <c r="A87">
        <v>86</v>
      </c>
      <c r="B87" t="s">
        <v>728</v>
      </c>
      <c r="C87" t="s">
        <v>729</v>
      </c>
      <c r="D87" t="s">
        <v>729</v>
      </c>
      <c r="E87">
        <f>lang_families!A14</f>
        <v>13</v>
      </c>
      <c r="F87">
        <f>lang_scopes!A2</f>
        <v>1</v>
      </c>
      <c r="G87">
        <f>lang_scripts!A5</f>
        <v>4</v>
      </c>
      <c r="H87">
        <f>lang_types!A2</f>
        <v>1</v>
      </c>
      <c r="I87" t="s">
        <v>730</v>
      </c>
      <c r="J87" t="s">
        <v>731</v>
      </c>
      <c r="K87" t="s">
        <v>732</v>
      </c>
    </row>
    <row r="88" spans="1:11" x14ac:dyDescent="0.35">
      <c r="A88">
        <v>87</v>
      </c>
      <c r="B88" t="s">
        <v>733</v>
      </c>
      <c r="C88" t="s">
        <v>734</v>
      </c>
      <c r="D88" t="s">
        <v>734</v>
      </c>
      <c r="E88">
        <f>lang_families!A14</f>
        <v>13</v>
      </c>
      <c r="F88">
        <f>lang_scopes!A3</f>
        <v>2</v>
      </c>
      <c r="G88">
        <f>lang_scripts!A5</f>
        <v>4</v>
      </c>
      <c r="H88">
        <f>lang_types!A2</f>
        <v>1</v>
      </c>
      <c r="I88" t="s">
        <v>735</v>
      </c>
      <c r="J88" t="s">
        <v>736</v>
      </c>
      <c r="K88" t="s">
        <v>737</v>
      </c>
    </row>
    <row r="89" spans="1:11" x14ac:dyDescent="0.35">
      <c r="A89">
        <v>88</v>
      </c>
      <c r="B89" t="s">
        <v>738</v>
      </c>
      <c r="C89" t="s">
        <v>739</v>
      </c>
      <c r="D89" t="s">
        <v>739</v>
      </c>
      <c r="E89">
        <f>lang_families!A27</f>
        <v>26</v>
      </c>
      <c r="F89">
        <f>lang_scopes!A3</f>
        <v>2</v>
      </c>
      <c r="G89">
        <f>lang_scripts!A3</f>
        <v>2</v>
      </c>
      <c r="H89">
        <f>lang_types!A2</f>
        <v>1</v>
      </c>
      <c r="I89" t="s">
        <v>740</v>
      </c>
      <c r="J89" t="s">
        <v>741</v>
      </c>
      <c r="K89" t="s">
        <v>742</v>
      </c>
    </row>
    <row r="90" spans="1:11" x14ac:dyDescent="0.35">
      <c r="A90">
        <v>89</v>
      </c>
      <c r="B90" t="s">
        <v>743</v>
      </c>
      <c r="C90" t="s">
        <v>744</v>
      </c>
      <c r="D90" t="s">
        <v>744</v>
      </c>
      <c r="E90">
        <f>lang_families!A14</f>
        <v>13</v>
      </c>
      <c r="F90">
        <f>lang_scopes!A2</f>
        <v>1</v>
      </c>
      <c r="G90">
        <f>lang_scripts!A2</f>
        <v>1</v>
      </c>
      <c r="H90">
        <f>lang_types!A2</f>
        <v>1</v>
      </c>
      <c r="I90" t="s">
        <v>745</v>
      </c>
      <c r="J90" t="s">
        <v>746</v>
      </c>
      <c r="K90" t="s">
        <v>747</v>
      </c>
    </row>
    <row r="91" spans="1:11" x14ac:dyDescent="0.35">
      <c r="A91">
        <v>90</v>
      </c>
      <c r="B91" t="s">
        <v>748</v>
      </c>
      <c r="C91" t="s">
        <v>749</v>
      </c>
      <c r="D91" t="s">
        <v>749</v>
      </c>
      <c r="E91">
        <f>lang_families!A78</f>
        <v>77</v>
      </c>
      <c r="F91">
        <f>lang_scopes!A2</f>
        <v>1</v>
      </c>
      <c r="G91">
        <f>lang_scripts!A3</f>
        <v>2</v>
      </c>
      <c r="H91">
        <f>lang_types!A2</f>
        <v>1</v>
      </c>
      <c r="I91" t="s">
        <v>750</v>
      </c>
      <c r="J91" t="s">
        <v>751</v>
      </c>
      <c r="K91" t="s">
        <v>752</v>
      </c>
    </row>
    <row r="92" spans="1:11" x14ac:dyDescent="0.35">
      <c r="A92">
        <v>91</v>
      </c>
      <c r="B92" t="s">
        <v>753</v>
      </c>
      <c r="C92" t="s">
        <v>754</v>
      </c>
      <c r="D92" t="s">
        <v>754</v>
      </c>
      <c r="E92">
        <f>lang_families!A14</f>
        <v>13</v>
      </c>
      <c r="F92">
        <f>lang_scopes!A2</f>
        <v>1</v>
      </c>
      <c r="G92">
        <f>lang_scripts!A2</f>
        <v>1</v>
      </c>
      <c r="H92">
        <f>lang_types!A3</f>
        <v>2</v>
      </c>
      <c r="I92" t="s">
        <v>252</v>
      </c>
      <c r="J92" t="s">
        <v>755</v>
      </c>
      <c r="K92" t="s">
        <v>756</v>
      </c>
    </row>
    <row r="93" spans="1:11" x14ac:dyDescent="0.35">
      <c r="A93">
        <v>92</v>
      </c>
      <c r="B93" t="s">
        <v>757</v>
      </c>
      <c r="C93" t="s">
        <v>758</v>
      </c>
      <c r="D93" t="s">
        <v>758</v>
      </c>
      <c r="E93">
        <f>lang_families!A14</f>
        <v>13</v>
      </c>
      <c r="F93">
        <f>lang_scopes!A2</f>
        <v>1</v>
      </c>
      <c r="G93">
        <f>lang_scripts!A2</f>
        <v>1</v>
      </c>
      <c r="H93">
        <f>lang_types!A2</f>
        <v>1</v>
      </c>
      <c r="I93" t="s">
        <v>759</v>
      </c>
      <c r="J93" t="s">
        <v>760</v>
      </c>
      <c r="K93" t="s">
        <v>761</v>
      </c>
    </row>
    <row r="94" spans="1:11" x14ac:dyDescent="0.35">
      <c r="A94">
        <v>93</v>
      </c>
      <c r="B94" t="s">
        <v>762</v>
      </c>
      <c r="C94" t="s">
        <v>763</v>
      </c>
      <c r="D94" t="s">
        <v>763</v>
      </c>
      <c r="E94">
        <f>lang_families!A19</f>
        <v>18</v>
      </c>
      <c r="F94">
        <f>lang_scopes!A2</f>
        <v>1</v>
      </c>
      <c r="G94">
        <f>lang_scripts!A2</f>
        <v>1</v>
      </c>
      <c r="H94">
        <f>lang_types!A2</f>
        <v>1</v>
      </c>
      <c r="I94" t="s">
        <v>764</v>
      </c>
      <c r="J94" t="s">
        <v>765</v>
      </c>
      <c r="K94" t="s">
        <v>766</v>
      </c>
    </row>
    <row r="95" spans="1:11" x14ac:dyDescent="0.35">
      <c r="A95">
        <v>94</v>
      </c>
      <c r="B95" t="s">
        <v>767</v>
      </c>
      <c r="C95" t="s">
        <v>768</v>
      </c>
      <c r="D95" t="s">
        <v>768</v>
      </c>
      <c r="E95">
        <f>lang_families!A14</f>
        <v>13</v>
      </c>
      <c r="F95">
        <f>lang_scopes!A2</f>
        <v>1</v>
      </c>
      <c r="G95">
        <f>lang_scripts!A2</f>
        <v>1</v>
      </c>
      <c r="H95">
        <f>lang_types!A2</f>
        <v>1</v>
      </c>
      <c r="I95" t="s">
        <v>769</v>
      </c>
      <c r="J95" t="s">
        <v>770</v>
      </c>
      <c r="K95" t="s">
        <v>771</v>
      </c>
    </row>
    <row r="96" spans="1:11" x14ac:dyDescent="0.35">
      <c r="A96">
        <v>95</v>
      </c>
      <c r="B96" t="s">
        <v>772</v>
      </c>
      <c r="C96" t="s">
        <v>773</v>
      </c>
      <c r="D96" t="s">
        <v>773</v>
      </c>
      <c r="E96">
        <f>lang_families!A19</f>
        <v>18</v>
      </c>
      <c r="F96">
        <f>lang_scopes!A2</f>
        <v>1</v>
      </c>
      <c r="G96">
        <f>lang_scripts!A2</f>
        <v>1</v>
      </c>
      <c r="H96">
        <f>lang_types!A2</f>
        <v>1</v>
      </c>
      <c r="I96" t="s">
        <v>774</v>
      </c>
      <c r="J96" t="s">
        <v>775</v>
      </c>
      <c r="K96" t="s">
        <v>776</v>
      </c>
    </row>
    <row r="97" spans="1:11" x14ac:dyDescent="0.35">
      <c r="A97">
        <v>96</v>
      </c>
      <c r="B97" t="s">
        <v>777</v>
      </c>
      <c r="C97" t="s">
        <v>778</v>
      </c>
      <c r="D97" t="s">
        <v>778</v>
      </c>
      <c r="E97">
        <f>lang_families!A25</f>
        <v>24</v>
      </c>
      <c r="F97">
        <f>lang_scopes!A2</f>
        <v>1</v>
      </c>
      <c r="G97">
        <f>lang_scripts!A21</f>
        <v>20</v>
      </c>
      <c r="H97">
        <f>lang_types!A2</f>
        <v>1</v>
      </c>
      <c r="I97" t="s">
        <v>292</v>
      </c>
      <c r="J97" t="s">
        <v>779</v>
      </c>
      <c r="K97" t="s">
        <v>780</v>
      </c>
    </row>
    <row r="98" spans="1:11" x14ac:dyDescent="0.35">
      <c r="A98">
        <v>97</v>
      </c>
      <c r="B98" t="s">
        <v>781</v>
      </c>
      <c r="C98" t="s">
        <v>782</v>
      </c>
      <c r="D98" t="s">
        <v>782</v>
      </c>
      <c r="E98">
        <f>lang_families!A14</f>
        <v>13</v>
      </c>
      <c r="F98">
        <f>lang_scopes!A2</f>
        <v>1</v>
      </c>
      <c r="G98">
        <f>lang_scripts!A2</f>
        <v>1</v>
      </c>
      <c r="H98">
        <f>lang_types!A2</f>
        <v>1</v>
      </c>
      <c r="I98" t="s">
        <v>783</v>
      </c>
      <c r="J98" t="s">
        <v>784</v>
      </c>
      <c r="K98" t="s">
        <v>785</v>
      </c>
    </row>
    <row r="99" spans="1:11" x14ac:dyDescent="0.35">
      <c r="A99">
        <v>98</v>
      </c>
      <c r="B99" t="s">
        <v>786</v>
      </c>
      <c r="C99" t="s">
        <v>787</v>
      </c>
      <c r="D99" t="s">
        <v>787</v>
      </c>
      <c r="E99">
        <f>lang_families!A19</f>
        <v>18</v>
      </c>
      <c r="F99">
        <f>lang_scopes!A2</f>
        <v>1</v>
      </c>
      <c r="G99">
        <f>lang_scripts!A2</f>
        <v>1</v>
      </c>
      <c r="H99">
        <f>lang_types!A2</f>
        <v>1</v>
      </c>
      <c r="I99" t="s">
        <v>788</v>
      </c>
      <c r="J99" t="s">
        <v>789</v>
      </c>
      <c r="K99" t="s">
        <v>790</v>
      </c>
    </row>
    <row r="100" spans="1:11" x14ac:dyDescent="0.35">
      <c r="A100">
        <v>99</v>
      </c>
      <c r="B100" t="s">
        <v>791</v>
      </c>
      <c r="C100" t="s">
        <v>792</v>
      </c>
      <c r="D100" t="s">
        <v>792</v>
      </c>
      <c r="E100">
        <f>lang_families!A14</f>
        <v>13</v>
      </c>
      <c r="F100">
        <f>lang_scopes!A3</f>
        <v>2</v>
      </c>
      <c r="G100">
        <f>lang_scripts!A2</f>
        <v>1</v>
      </c>
      <c r="H100">
        <f>lang_types!A2</f>
        <v>1</v>
      </c>
      <c r="I100" t="s">
        <v>793</v>
      </c>
      <c r="J100" t="s">
        <v>794</v>
      </c>
      <c r="K100" t="s">
        <v>795</v>
      </c>
    </row>
    <row r="101" spans="1:11" x14ac:dyDescent="0.35">
      <c r="A101">
        <v>100</v>
      </c>
      <c r="B101" t="s">
        <v>796</v>
      </c>
      <c r="C101" t="s">
        <v>797</v>
      </c>
      <c r="D101" t="s">
        <v>797</v>
      </c>
      <c r="E101">
        <f>lang_families!A17</f>
        <v>16</v>
      </c>
      <c r="F101">
        <f>lang_scopes!A3</f>
        <v>2</v>
      </c>
      <c r="G101">
        <f>lang_scripts!A2</f>
        <v>1</v>
      </c>
      <c r="H101">
        <f>lang_types!A2</f>
        <v>1</v>
      </c>
      <c r="I101" t="s">
        <v>798</v>
      </c>
      <c r="J101" t="s">
        <v>798</v>
      </c>
      <c r="K101" t="s">
        <v>799</v>
      </c>
    </row>
    <row r="102" spans="1:11" x14ac:dyDescent="0.35">
      <c r="A102">
        <v>101</v>
      </c>
      <c r="B102" t="s">
        <v>800</v>
      </c>
      <c r="C102" t="s">
        <v>801</v>
      </c>
      <c r="D102" t="s">
        <v>801</v>
      </c>
      <c r="E102">
        <f>lang_families!A17</f>
        <v>16</v>
      </c>
      <c r="F102">
        <f>lang_scopes!A2</f>
        <v>1</v>
      </c>
      <c r="G102">
        <f>lang_scripts!A2</f>
        <v>1</v>
      </c>
      <c r="H102">
        <f>lang_types!A2</f>
        <v>1</v>
      </c>
      <c r="I102" t="s">
        <v>802</v>
      </c>
      <c r="J102" t="s">
        <v>803</v>
      </c>
      <c r="K102" t="s">
        <v>804</v>
      </c>
    </row>
    <row r="103" spans="1:11" x14ac:dyDescent="0.35">
      <c r="A103">
        <v>102</v>
      </c>
      <c r="B103" t="s">
        <v>805</v>
      </c>
      <c r="C103" t="s">
        <v>806</v>
      </c>
      <c r="D103" t="s">
        <v>806</v>
      </c>
      <c r="E103">
        <f>lang_families!A17</f>
        <v>16</v>
      </c>
      <c r="F103">
        <f>lang_scopes!A2</f>
        <v>1</v>
      </c>
      <c r="G103">
        <f>lang_scripts!A2</f>
        <v>1</v>
      </c>
      <c r="H103">
        <f>lang_types!A2</f>
        <v>1</v>
      </c>
      <c r="I103" t="s">
        <v>807</v>
      </c>
      <c r="J103" t="s">
        <v>808</v>
      </c>
      <c r="K103" t="s">
        <v>809</v>
      </c>
    </row>
    <row r="104" spans="1:11" x14ac:dyDescent="0.35">
      <c r="A104">
        <v>103</v>
      </c>
      <c r="B104" t="s">
        <v>810</v>
      </c>
      <c r="C104" t="s">
        <v>811</v>
      </c>
      <c r="D104" t="s">
        <v>811</v>
      </c>
      <c r="E104">
        <f>lang_families!A14</f>
        <v>13</v>
      </c>
      <c r="F104">
        <f>lang_scopes!A2</f>
        <v>1</v>
      </c>
      <c r="G104">
        <f>lang_scripts!A3</f>
        <v>2</v>
      </c>
      <c r="H104">
        <f>lang_types!A2</f>
        <v>1</v>
      </c>
      <c r="I104" t="s">
        <v>812</v>
      </c>
      <c r="J104" t="s">
        <v>813</v>
      </c>
      <c r="K104" t="s">
        <v>814</v>
      </c>
    </row>
    <row r="105" spans="1:11" x14ac:dyDescent="0.35">
      <c r="A105">
        <v>104</v>
      </c>
      <c r="B105" t="s">
        <v>815</v>
      </c>
      <c r="C105" t="s">
        <v>816</v>
      </c>
      <c r="D105" t="s">
        <v>816</v>
      </c>
      <c r="E105">
        <f>lang_families!A10</f>
        <v>9</v>
      </c>
      <c r="F105">
        <f>lang_scopes!A2</f>
        <v>1</v>
      </c>
      <c r="G105">
        <f>lang_scripts!A22</f>
        <v>21</v>
      </c>
      <c r="H105">
        <f>lang_types!A2</f>
        <v>1</v>
      </c>
      <c r="I105" t="s">
        <v>294</v>
      </c>
      <c r="J105" t="s">
        <v>817</v>
      </c>
      <c r="K105" t="s">
        <v>818</v>
      </c>
    </row>
    <row r="106" spans="1:11" x14ac:dyDescent="0.35">
      <c r="A106">
        <v>105</v>
      </c>
      <c r="B106" t="s">
        <v>819</v>
      </c>
      <c r="C106" t="s">
        <v>820</v>
      </c>
      <c r="D106" t="s">
        <v>820</v>
      </c>
      <c r="E106">
        <f>lang_families!A82</f>
        <v>81</v>
      </c>
      <c r="F106">
        <f>lang_scopes!A3</f>
        <v>2</v>
      </c>
      <c r="G106">
        <f>lang_scripts!A3</f>
        <v>2</v>
      </c>
      <c r="H106">
        <f>lang_types!A2</f>
        <v>1</v>
      </c>
      <c r="I106" t="s">
        <v>821</v>
      </c>
      <c r="J106" t="s">
        <v>822</v>
      </c>
      <c r="K106" t="s">
        <v>823</v>
      </c>
    </row>
    <row r="107" spans="1:11" x14ac:dyDescent="0.35">
      <c r="A107">
        <v>106</v>
      </c>
      <c r="B107" t="s">
        <v>824</v>
      </c>
      <c r="C107" t="s">
        <v>825</v>
      </c>
      <c r="D107" t="s">
        <v>825</v>
      </c>
      <c r="E107">
        <f>lang_families!A14</f>
        <v>13</v>
      </c>
      <c r="F107">
        <f>lang_scopes!A2</f>
        <v>1</v>
      </c>
      <c r="G107">
        <f>lang_scripts!A13</f>
        <v>12</v>
      </c>
      <c r="H107">
        <f>lang_types!A2</f>
        <v>1</v>
      </c>
      <c r="I107" t="s">
        <v>826</v>
      </c>
      <c r="J107" t="s">
        <v>827</v>
      </c>
      <c r="K107" t="s">
        <v>828</v>
      </c>
    </row>
    <row r="108" spans="1:11" x14ac:dyDescent="0.35">
      <c r="A108">
        <v>107</v>
      </c>
      <c r="B108" t="s">
        <v>829</v>
      </c>
      <c r="C108" t="s">
        <v>830</v>
      </c>
      <c r="D108" t="s">
        <v>830</v>
      </c>
      <c r="E108">
        <f>lang_families!A17</f>
        <v>16</v>
      </c>
      <c r="F108">
        <f>lang_scopes!A3</f>
        <v>2</v>
      </c>
      <c r="G108">
        <f>lang_scripts!A2</f>
        <v>1</v>
      </c>
      <c r="H108">
        <f>lang_types!A2</f>
        <v>1</v>
      </c>
      <c r="I108" t="s">
        <v>831</v>
      </c>
      <c r="J108" t="s">
        <v>832</v>
      </c>
      <c r="K108" t="s">
        <v>833</v>
      </c>
    </row>
    <row r="109" spans="1:11" x14ac:dyDescent="0.35">
      <c r="A109">
        <v>108</v>
      </c>
      <c r="B109" t="s">
        <v>834</v>
      </c>
      <c r="C109" t="s">
        <v>835</v>
      </c>
      <c r="D109" t="s">
        <v>835</v>
      </c>
      <c r="E109">
        <f>lang_families!A3</f>
        <v>2</v>
      </c>
      <c r="F109">
        <f>lang_scopes!A2</f>
        <v>1</v>
      </c>
      <c r="G109">
        <f>lang_scripts!A2</f>
        <v>1</v>
      </c>
      <c r="H109">
        <f>lang_types!A2</f>
        <v>1</v>
      </c>
      <c r="I109" t="s">
        <v>836</v>
      </c>
      <c r="J109" t="s">
        <v>837</v>
      </c>
      <c r="K109" t="s">
        <v>838</v>
      </c>
    </row>
    <row r="110" spans="1:11" x14ac:dyDescent="0.35">
      <c r="A110">
        <v>109</v>
      </c>
      <c r="B110" t="s">
        <v>839</v>
      </c>
      <c r="C110" t="s">
        <v>840</v>
      </c>
      <c r="D110" t="s">
        <v>840</v>
      </c>
      <c r="E110">
        <f>lang_families!A23</f>
        <v>22</v>
      </c>
      <c r="F110">
        <f>lang_scopes!A2</f>
        <v>1</v>
      </c>
      <c r="G110">
        <f>lang_scripts!A23</f>
        <v>22</v>
      </c>
      <c r="H110">
        <f>lang_types!A2</f>
        <v>1</v>
      </c>
      <c r="I110" t="s">
        <v>841</v>
      </c>
      <c r="J110" t="s">
        <v>842</v>
      </c>
      <c r="K110" t="s">
        <v>843</v>
      </c>
    </row>
    <row r="111" spans="1:11" x14ac:dyDescent="0.35">
      <c r="A111">
        <v>110</v>
      </c>
      <c r="B111" t="s">
        <v>844</v>
      </c>
      <c r="C111" t="s">
        <v>845</v>
      </c>
      <c r="D111" t="s">
        <v>845</v>
      </c>
      <c r="E111">
        <f>lang_families!A17</f>
        <v>16</v>
      </c>
      <c r="F111">
        <f>lang_scopes!A2</f>
        <v>1</v>
      </c>
      <c r="G111">
        <f>lang_scripts!A2</f>
        <v>1</v>
      </c>
      <c r="H111">
        <f>lang_types!A2</f>
        <v>1</v>
      </c>
      <c r="I111" t="s">
        <v>846</v>
      </c>
      <c r="J111" t="s">
        <v>847</v>
      </c>
      <c r="K111" t="s">
        <v>848</v>
      </c>
    </row>
    <row r="112" spans="1:11" x14ac:dyDescent="0.35">
      <c r="A112">
        <v>111</v>
      </c>
      <c r="B112" t="s">
        <v>849</v>
      </c>
      <c r="C112" t="s">
        <v>850</v>
      </c>
      <c r="D112" t="s">
        <v>850</v>
      </c>
      <c r="E112">
        <f>lang_families!A14</f>
        <v>13</v>
      </c>
      <c r="F112">
        <f>lang_scopes!A2</f>
        <v>1</v>
      </c>
      <c r="G112">
        <f>lang_scripts!A2</f>
        <v>1</v>
      </c>
      <c r="H112">
        <f>lang_types!A2</f>
        <v>1</v>
      </c>
      <c r="I112" t="s">
        <v>851</v>
      </c>
      <c r="J112" t="s">
        <v>852</v>
      </c>
      <c r="K112" t="s">
        <v>853</v>
      </c>
    </row>
    <row r="113" spans="1:11" x14ac:dyDescent="0.35">
      <c r="A113">
        <v>112</v>
      </c>
      <c r="B113" t="s">
        <v>854</v>
      </c>
      <c r="C113" t="s">
        <v>855</v>
      </c>
      <c r="D113" t="s">
        <v>855</v>
      </c>
      <c r="E113">
        <f>lang_families!A19</f>
        <v>18</v>
      </c>
      <c r="F113">
        <f>lang_scopes!A2</f>
        <v>1</v>
      </c>
      <c r="G113">
        <f>lang_scripts!A2</f>
        <v>1</v>
      </c>
      <c r="H113">
        <f>lang_types!A2</f>
        <v>1</v>
      </c>
      <c r="I113" t="s">
        <v>856</v>
      </c>
      <c r="J113" t="s">
        <v>857</v>
      </c>
      <c r="K113" t="s">
        <v>858</v>
      </c>
    </row>
    <row r="114" spans="1:11" x14ac:dyDescent="0.35">
      <c r="A114">
        <v>113</v>
      </c>
      <c r="B114" t="s">
        <v>859</v>
      </c>
      <c r="C114" t="s">
        <v>860</v>
      </c>
      <c r="D114" t="s">
        <v>860</v>
      </c>
      <c r="E114">
        <f>lang_families!A14</f>
        <v>13</v>
      </c>
      <c r="F114">
        <f>lang_scopes!A3</f>
        <v>2</v>
      </c>
      <c r="G114">
        <f>lang_scripts!A13</f>
        <v>12</v>
      </c>
      <c r="H114">
        <f>lang_types!A2</f>
        <v>1</v>
      </c>
      <c r="I114" t="s">
        <v>861</v>
      </c>
      <c r="J114" t="s">
        <v>862</v>
      </c>
      <c r="K114" t="s">
        <v>863</v>
      </c>
    </row>
    <row r="115" spans="1:11" x14ac:dyDescent="0.35">
      <c r="A115">
        <v>114</v>
      </c>
      <c r="B115" t="s">
        <v>864</v>
      </c>
      <c r="C115" t="s">
        <v>865</v>
      </c>
      <c r="D115" t="s">
        <v>865</v>
      </c>
      <c r="E115">
        <f>lang_families!A19</f>
        <v>18</v>
      </c>
      <c r="F115">
        <f>lang_scopes!A2</f>
        <v>1</v>
      </c>
      <c r="G115">
        <f>lang_scripts!A2</f>
        <v>1</v>
      </c>
      <c r="H115">
        <f>lang_types!A2</f>
        <v>1</v>
      </c>
      <c r="I115" t="s">
        <v>866</v>
      </c>
      <c r="J115" t="s">
        <v>867</v>
      </c>
      <c r="K115" t="s">
        <v>868</v>
      </c>
    </row>
    <row r="116" spans="1:11" x14ac:dyDescent="0.35">
      <c r="A116">
        <v>115</v>
      </c>
      <c r="B116" t="s">
        <v>869</v>
      </c>
      <c r="C116" t="s">
        <v>870</v>
      </c>
      <c r="D116" t="s">
        <v>870</v>
      </c>
      <c r="E116">
        <f>lang_families!A14</f>
        <v>13</v>
      </c>
      <c r="F116">
        <f>lang_scopes!A2</f>
        <v>1</v>
      </c>
      <c r="G116">
        <f>lang_scripts!A2</f>
        <v>1</v>
      </c>
      <c r="H116">
        <f>lang_types!A2</f>
        <v>1</v>
      </c>
      <c r="I116" t="s">
        <v>871</v>
      </c>
      <c r="J116" t="s">
        <v>872</v>
      </c>
      <c r="K116" t="s">
        <v>873</v>
      </c>
    </row>
    <row r="117" spans="1:11" x14ac:dyDescent="0.35">
      <c r="A117">
        <v>116</v>
      </c>
      <c r="B117" t="s">
        <v>874</v>
      </c>
      <c r="C117" t="s">
        <v>875</v>
      </c>
      <c r="D117" t="s">
        <v>875</v>
      </c>
      <c r="E117">
        <f>lang_families!A14</f>
        <v>13</v>
      </c>
      <c r="F117">
        <f>lang_scopes!A2</f>
        <v>1</v>
      </c>
      <c r="G117">
        <f>lang_scripts!A2</f>
        <v>1</v>
      </c>
      <c r="H117">
        <f>lang_types!A2</f>
        <v>1</v>
      </c>
      <c r="I117" t="s">
        <v>876</v>
      </c>
      <c r="J117" t="s">
        <v>877</v>
      </c>
      <c r="K117" t="s">
        <v>878</v>
      </c>
    </row>
    <row r="118" spans="1:11" x14ac:dyDescent="0.35">
      <c r="A118">
        <v>117</v>
      </c>
      <c r="B118" t="s">
        <v>879</v>
      </c>
      <c r="C118" t="s">
        <v>880</v>
      </c>
      <c r="D118" t="s">
        <v>880</v>
      </c>
      <c r="E118">
        <f>lang_families!A14</f>
        <v>13</v>
      </c>
      <c r="F118">
        <f>lang_scopes!A3</f>
        <v>2</v>
      </c>
      <c r="G118">
        <f>lang_scripts!A2</f>
        <v>1</v>
      </c>
      <c r="H118">
        <f>lang_types!A2</f>
        <v>1</v>
      </c>
      <c r="I118" t="s">
        <v>881</v>
      </c>
      <c r="J118" t="s">
        <v>882</v>
      </c>
      <c r="K118" t="s">
        <v>883</v>
      </c>
    </row>
    <row r="119" spans="1:11" x14ac:dyDescent="0.35">
      <c r="A119">
        <v>118</v>
      </c>
      <c r="B119" t="s">
        <v>884</v>
      </c>
      <c r="C119" t="s">
        <v>885</v>
      </c>
      <c r="D119" t="s">
        <v>885</v>
      </c>
      <c r="E119">
        <f>lang_families!A19</f>
        <v>18</v>
      </c>
      <c r="F119">
        <f>lang_scopes!A2</f>
        <v>1</v>
      </c>
      <c r="G119">
        <f>lang_scripts!A2</f>
        <v>1</v>
      </c>
      <c r="H119">
        <f>lang_types!A2</f>
        <v>1</v>
      </c>
      <c r="I119" t="s">
        <v>886</v>
      </c>
      <c r="J119" t="s">
        <v>857</v>
      </c>
      <c r="K119" t="s">
        <v>887</v>
      </c>
    </row>
    <row r="120" spans="1:11" x14ac:dyDescent="0.35">
      <c r="A120">
        <v>119</v>
      </c>
      <c r="B120" t="s">
        <v>888</v>
      </c>
      <c r="C120" t="s">
        <v>889</v>
      </c>
      <c r="D120" t="s">
        <v>889</v>
      </c>
      <c r="E120">
        <f>lang_families!A83</f>
        <v>82</v>
      </c>
      <c r="F120">
        <f>lang_scopes!A2</f>
        <v>1</v>
      </c>
      <c r="G120">
        <f>lang_scripts!A2</f>
        <v>1</v>
      </c>
      <c r="H120">
        <f>lang_types!A2</f>
        <v>1</v>
      </c>
      <c r="I120" t="s">
        <v>890</v>
      </c>
      <c r="J120" t="s">
        <v>891</v>
      </c>
      <c r="K120" t="s">
        <v>892</v>
      </c>
    </row>
    <row r="121" spans="1:11" x14ac:dyDescent="0.35">
      <c r="A121">
        <v>120</v>
      </c>
      <c r="B121" t="s">
        <v>893</v>
      </c>
      <c r="C121" t="s">
        <v>894</v>
      </c>
      <c r="D121" t="s">
        <v>894</v>
      </c>
      <c r="E121">
        <f>lang_families!A19</f>
        <v>18</v>
      </c>
      <c r="F121">
        <f>lang_scopes!A2</f>
        <v>1</v>
      </c>
      <c r="G121">
        <f>lang_scripts!A2</f>
        <v>1</v>
      </c>
      <c r="H121">
        <f>lang_types!A2</f>
        <v>1</v>
      </c>
      <c r="I121" t="s">
        <v>895</v>
      </c>
      <c r="J121" t="s">
        <v>896</v>
      </c>
      <c r="K121" t="s">
        <v>897</v>
      </c>
    </row>
    <row r="122" spans="1:11" x14ac:dyDescent="0.35">
      <c r="A122">
        <v>121</v>
      </c>
      <c r="B122" t="s">
        <v>898</v>
      </c>
      <c r="C122" t="s">
        <v>899</v>
      </c>
      <c r="D122" t="s">
        <v>899</v>
      </c>
      <c r="E122">
        <f>lang_families!A14</f>
        <v>13</v>
      </c>
      <c r="F122">
        <f>lang_scopes!A2</f>
        <v>1</v>
      </c>
      <c r="G122">
        <f>lang_scripts!A2</f>
        <v>1</v>
      </c>
      <c r="H122">
        <f>lang_types!A2</f>
        <v>1</v>
      </c>
      <c r="I122" t="s">
        <v>900</v>
      </c>
      <c r="J122" t="s">
        <v>901</v>
      </c>
      <c r="K122" t="s">
        <v>902</v>
      </c>
    </row>
    <row r="123" spans="1:11" x14ac:dyDescent="0.35">
      <c r="A123">
        <v>122</v>
      </c>
      <c r="B123" t="s">
        <v>903</v>
      </c>
      <c r="C123" t="s">
        <v>904</v>
      </c>
      <c r="D123" t="s">
        <v>904</v>
      </c>
      <c r="E123">
        <f>lang_families!A33</f>
        <v>32</v>
      </c>
      <c r="F123">
        <f>lang_scopes!A3</f>
        <v>2</v>
      </c>
      <c r="G123">
        <f>lang_scripts!A8</f>
        <v>7</v>
      </c>
      <c r="H123">
        <f>lang_types!A2</f>
        <v>1</v>
      </c>
      <c r="I123" t="s">
        <v>905</v>
      </c>
      <c r="J123" t="s">
        <v>906</v>
      </c>
      <c r="K123" t="s">
        <v>907</v>
      </c>
    </row>
    <row r="124" spans="1:11" x14ac:dyDescent="0.35">
      <c r="A124">
        <v>123</v>
      </c>
      <c r="B124" t="s">
        <v>908</v>
      </c>
      <c r="C124" t="s">
        <v>909</v>
      </c>
      <c r="D124" t="s">
        <v>909</v>
      </c>
      <c r="E124">
        <f>lang_families!A3</f>
        <v>2</v>
      </c>
      <c r="F124">
        <f>lang_scopes!A3</f>
        <v>2</v>
      </c>
      <c r="G124">
        <f>lang_scripts!A2</f>
        <v>1</v>
      </c>
      <c r="H124">
        <f>lang_types!A2</f>
        <v>1</v>
      </c>
      <c r="I124" t="s">
        <v>910</v>
      </c>
      <c r="J124" t="s">
        <v>911</v>
      </c>
      <c r="K124" t="s">
        <v>912</v>
      </c>
    </row>
    <row r="125" spans="1:11" x14ac:dyDescent="0.35">
      <c r="A125">
        <v>124</v>
      </c>
      <c r="B125" t="s">
        <v>913</v>
      </c>
      <c r="C125" t="s">
        <v>914</v>
      </c>
      <c r="D125" t="s">
        <v>914</v>
      </c>
      <c r="E125">
        <f>lang_families!A14</f>
        <v>13</v>
      </c>
      <c r="F125">
        <f>lang_scopes!A3</f>
        <v>2</v>
      </c>
      <c r="G125">
        <f>lang_scripts!A24</f>
        <v>23</v>
      </c>
      <c r="H125">
        <f>lang_types!A2</f>
        <v>1</v>
      </c>
      <c r="I125" t="s">
        <v>915</v>
      </c>
      <c r="J125" t="s">
        <v>916</v>
      </c>
      <c r="K125" t="s">
        <v>917</v>
      </c>
    </row>
    <row r="126" spans="1:11" x14ac:dyDescent="0.35">
      <c r="A126">
        <v>125</v>
      </c>
      <c r="B126" t="s">
        <v>918</v>
      </c>
      <c r="C126" t="s">
        <v>919</v>
      </c>
      <c r="D126" t="s">
        <v>919</v>
      </c>
      <c r="E126">
        <f>lang_families!A14</f>
        <v>13</v>
      </c>
      <c r="F126">
        <f>lang_scopes!A2</f>
        <v>1</v>
      </c>
      <c r="G126">
        <f>lang_scripts!A3</f>
        <v>2</v>
      </c>
      <c r="H126">
        <f>lang_types!A2</f>
        <v>1</v>
      </c>
      <c r="I126" t="s">
        <v>920</v>
      </c>
      <c r="J126" t="s">
        <v>921</v>
      </c>
      <c r="K126" t="s">
        <v>922</v>
      </c>
    </row>
    <row r="127" spans="1:11" x14ac:dyDescent="0.35">
      <c r="A127">
        <v>126</v>
      </c>
      <c r="B127" t="s">
        <v>923</v>
      </c>
      <c r="C127" t="s">
        <v>924</v>
      </c>
      <c r="D127" t="s">
        <v>924</v>
      </c>
      <c r="E127">
        <f>lang_families!A14</f>
        <v>13</v>
      </c>
      <c r="F127">
        <f>lang_scopes!A2</f>
        <v>1</v>
      </c>
      <c r="G127">
        <f>lang_scripts!A25</f>
        <v>24</v>
      </c>
      <c r="H127">
        <f>lang_types!A2</f>
        <v>1</v>
      </c>
      <c r="I127" t="s">
        <v>925</v>
      </c>
      <c r="J127" t="s">
        <v>926</v>
      </c>
      <c r="K127" t="s">
        <v>927</v>
      </c>
    </row>
    <row r="128" spans="1:11" x14ac:dyDescent="0.35">
      <c r="A128">
        <v>127</v>
      </c>
      <c r="B128" t="s">
        <v>928</v>
      </c>
      <c r="C128" t="s">
        <v>929</v>
      </c>
      <c r="D128" t="s">
        <v>929</v>
      </c>
      <c r="E128">
        <f>lang_families!A14</f>
        <v>13</v>
      </c>
      <c r="F128">
        <f>lang_scopes!A2</f>
        <v>1</v>
      </c>
      <c r="G128">
        <f>lang_scripts!A2</f>
        <v>1</v>
      </c>
      <c r="H128">
        <f>lang_types!A3</f>
        <v>2</v>
      </c>
      <c r="I128" t="s">
        <v>930</v>
      </c>
      <c r="J128" t="s">
        <v>931</v>
      </c>
      <c r="K128" t="s">
        <v>932</v>
      </c>
    </row>
    <row r="129" spans="1:11" x14ac:dyDescent="0.35">
      <c r="A129">
        <v>128</v>
      </c>
      <c r="B129" t="s">
        <v>933</v>
      </c>
      <c r="C129" t="s">
        <v>934</v>
      </c>
      <c r="D129" t="s">
        <v>934</v>
      </c>
      <c r="E129">
        <f>lang_families!A14</f>
        <v>13</v>
      </c>
      <c r="F129">
        <f>lang_scopes!A2</f>
        <v>1</v>
      </c>
      <c r="G129">
        <f>lang_scripts!A2</f>
        <v>1</v>
      </c>
      <c r="H129">
        <f>lang_types!A2</f>
        <v>1</v>
      </c>
      <c r="I129" t="s">
        <v>935</v>
      </c>
      <c r="J129" t="s">
        <v>936</v>
      </c>
      <c r="K129" t="s">
        <v>937</v>
      </c>
    </row>
    <row r="130" spans="1:11" x14ac:dyDescent="0.35">
      <c r="A130">
        <v>129</v>
      </c>
      <c r="B130" t="s">
        <v>938</v>
      </c>
      <c r="C130" t="s">
        <v>939</v>
      </c>
      <c r="D130" t="s">
        <v>939</v>
      </c>
      <c r="E130">
        <f>lang_families!A14</f>
        <v>13</v>
      </c>
      <c r="F130">
        <f>lang_scopes!A3</f>
        <v>2</v>
      </c>
      <c r="G130">
        <f>lang_scripts!A5</f>
        <v>4</v>
      </c>
      <c r="H130">
        <f>lang_types!A2</f>
        <v>1</v>
      </c>
      <c r="I130" t="s">
        <v>940</v>
      </c>
      <c r="J130" t="s">
        <v>941</v>
      </c>
      <c r="K130" t="s">
        <v>942</v>
      </c>
    </row>
    <row r="131" spans="1:11" x14ac:dyDescent="0.35">
      <c r="A131">
        <v>130</v>
      </c>
      <c r="B131" t="s">
        <v>943</v>
      </c>
      <c r="C131" t="s">
        <v>944</v>
      </c>
      <c r="D131" t="s">
        <v>944</v>
      </c>
      <c r="E131">
        <f>lang_families!A14</f>
        <v>13</v>
      </c>
      <c r="F131">
        <f>lang_scopes!A2</f>
        <v>1</v>
      </c>
      <c r="G131">
        <f>lang_scripts!A2</f>
        <v>1</v>
      </c>
      <c r="H131">
        <f>lang_types!A2</f>
        <v>1</v>
      </c>
      <c r="I131" t="s">
        <v>945</v>
      </c>
      <c r="J131" t="s">
        <v>946</v>
      </c>
      <c r="K131" t="s">
        <v>947</v>
      </c>
    </row>
    <row r="132" spans="1:11" x14ac:dyDescent="0.35">
      <c r="A132">
        <v>131</v>
      </c>
      <c r="B132" t="s">
        <v>948</v>
      </c>
      <c r="C132" t="s">
        <v>949</v>
      </c>
      <c r="D132" t="s">
        <v>949</v>
      </c>
      <c r="E132">
        <f>lang_families!A68</f>
        <v>67</v>
      </c>
      <c r="F132">
        <f>lang_scopes!A3</f>
        <v>2</v>
      </c>
      <c r="G132">
        <f>lang_scripts!A2</f>
        <v>1</v>
      </c>
      <c r="H132">
        <f>lang_types!A2</f>
        <v>1</v>
      </c>
      <c r="I132" t="s">
        <v>950</v>
      </c>
      <c r="J132" t="s">
        <v>951</v>
      </c>
      <c r="K132" t="s">
        <v>952</v>
      </c>
    </row>
    <row r="133" spans="1:11" x14ac:dyDescent="0.35">
      <c r="A133">
        <v>132</v>
      </c>
      <c r="B133" t="s">
        <v>953</v>
      </c>
      <c r="C133" t="s">
        <v>954</v>
      </c>
      <c r="D133" t="s">
        <v>954</v>
      </c>
      <c r="E133">
        <f>lang_families!A14</f>
        <v>13</v>
      </c>
      <c r="F133">
        <f>lang_scopes!A2</f>
        <v>1</v>
      </c>
      <c r="G133">
        <f>lang_scripts!A2</f>
        <v>1</v>
      </c>
      <c r="H133">
        <f>lang_types!A2</f>
        <v>1</v>
      </c>
      <c r="I133" t="s">
        <v>955</v>
      </c>
      <c r="J133" t="s">
        <v>956</v>
      </c>
      <c r="K133" t="s">
        <v>957</v>
      </c>
    </row>
    <row r="134" spans="1:11" x14ac:dyDescent="0.35">
      <c r="A134">
        <v>133</v>
      </c>
      <c r="B134" t="s">
        <v>958</v>
      </c>
      <c r="C134" t="s">
        <v>959</v>
      </c>
      <c r="D134" t="s">
        <v>959</v>
      </c>
      <c r="E134">
        <f>lang_families!A19</f>
        <v>18</v>
      </c>
      <c r="F134">
        <f>lang_scopes!A2</f>
        <v>1</v>
      </c>
      <c r="G134">
        <f>lang_scripts!A2</f>
        <v>1</v>
      </c>
      <c r="H134">
        <f>lang_types!A2</f>
        <v>1</v>
      </c>
      <c r="I134" t="s">
        <v>960</v>
      </c>
      <c r="J134" t="s">
        <v>961</v>
      </c>
      <c r="K134" t="s">
        <v>962</v>
      </c>
    </row>
    <row r="135" spans="1:11" x14ac:dyDescent="0.35">
      <c r="A135">
        <v>134</v>
      </c>
      <c r="B135" t="s">
        <v>963</v>
      </c>
      <c r="C135" t="s">
        <v>964</v>
      </c>
      <c r="D135" t="s">
        <v>964</v>
      </c>
      <c r="E135">
        <f>lang_families!A14</f>
        <v>13</v>
      </c>
      <c r="F135">
        <f>lang_scopes!A2</f>
        <v>1</v>
      </c>
      <c r="G135">
        <f>lang_scripts!A2</f>
        <v>1</v>
      </c>
      <c r="H135">
        <f>lang_types!A2</f>
        <v>1</v>
      </c>
      <c r="I135" t="s">
        <v>965</v>
      </c>
      <c r="J135" t="s">
        <v>966</v>
      </c>
      <c r="K135" t="s">
        <v>967</v>
      </c>
    </row>
    <row r="136" spans="1:11" x14ac:dyDescent="0.35">
      <c r="A136">
        <v>135</v>
      </c>
      <c r="B136" t="s">
        <v>968</v>
      </c>
      <c r="C136" t="s">
        <v>969</v>
      </c>
      <c r="D136" t="s">
        <v>969</v>
      </c>
      <c r="E136">
        <f>lang_families!A14</f>
        <v>13</v>
      </c>
      <c r="F136">
        <f>lang_scopes!A2</f>
        <v>1</v>
      </c>
      <c r="G136">
        <f>lang_scripts!A3</f>
        <v>2</v>
      </c>
      <c r="H136">
        <f>lang_types!A2</f>
        <v>1</v>
      </c>
      <c r="I136" t="s">
        <v>970</v>
      </c>
      <c r="J136" t="s">
        <v>971</v>
      </c>
      <c r="K136" t="s">
        <v>972</v>
      </c>
    </row>
    <row r="137" spans="1:11" x14ac:dyDescent="0.35">
      <c r="A137">
        <v>136</v>
      </c>
      <c r="B137" t="s">
        <v>973</v>
      </c>
      <c r="C137" t="s">
        <v>974</v>
      </c>
      <c r="D137" t="s">
        <v>974</v>
      </c>
      <c r="E137">
        <f>lang_families!A19</f>
        <v>18</v>
      </c>
      <c r="F137">
        <f>lang_scopes!A2</f>
        <v>1</v>
      </c>
      <c r="G137">
        <f>lang_scripts!A2</f>
        <v>1</v>
      </c>
      <c r="H137">
        <f>lang_types!A2</f>
        <v>1</v>
      </c>
      <c r="I137" t="s">
        <v>975</v>
      </c>
      <c r="J137" t="s">
        <v>975</v>
      </c>
      <c r="K137" t="s">
        <v>976</v>
      </c>
    </row>
    <row r="138" spans="1:11" x14ac:dyDescent="0.35">
      <c r="A138">
        <v>137</v>
      </c>
      <c r="B138" t="s">
        <v>977</v>
      </c>
      <c r="C138" t="s">
        <v>978</v>
      </c>
      <c r="D138" t="s">
        <v>978</v>
      </c>
      <c r="E138">
        <f>lang_families!A14</f>
        <v>13</v>
      </c>
      <c r="F138">
        <f>lang_scopes!A2</f>
        <v>1</v>
      </c>
      <c r="G138">
        <f>lang_scripts!A13</f>
        <v>12</v>
      </c>
      <c r="H138">
        <f>lang_types!A3</f>
        <v>2</v>
      </c>
      <c r="I138" t="s">
        <v>979</v>
      </c>
      <c r="J138" t="s">
        <v>980</v>
      </c>
      <c r="K138" t="s">
        <v>981</v>
      </c>
    </row>
    <row r="139" spans="1:11" x14ac:dyDescent="0.35">
      <c r="A139">
        <v>138</v>
      </c>
      <c r="B139" t="s">
        <v>982</v>
      </c>
      <c r="C139" t="s">
        <v>983</v>
      </c>
      <c r="D139" t="s">
        <v>983</v>
      </c>
      <c r="E139">
        <f>lang_families!A14</f>
        <v>13</v>
      </c>
      <c r="F139">
        <f>lang_scopes!A3</f>
        <v>2</v>
      </c>
      <c r="G139">
        <f>lang_scripts!A2</f>
        <v>1</v>
      </c>
      <c r="H139">
        <f>lang_types!A2</f>
        <v>1</v>
      </c>
      <c r="I139" t="s">
        <v>984</v>
      </c>
      <c r="J139" t="s">
        <v>985</v>
      </c>
      <c r="K139" t="s">
        <v>986</v>
      </c>
    </row>
    <row r="140" spans="1:11" x14ac:dyDescent="0.35">
      <c r="A140">
        <v>139</v>
      </c>
      <c r="B140" t="s">
        <v>987</v>
      </c>
      <c r="C140" t="s">
        <v>988</v>
      </c>
      <c r="D140" t="s">
        <v>988</v>
      </c>
      <c r="E140">
        <f>lang_families!A14</f>
        <v>13</v>
      </c>
      <c r="F140">
        <f>lang_scopes!A2</f>
        <v>1</v>
      </c>
      <c r="G140">
        <f>lang_scripts!A5</f>
        <v>4</v>
      </c>
      <c r="H140">
        <f>lang_types!A2</f>
        <v>1</v>
      </c>
      <c r="I140" t="s">
        <v>989</v>
      </c>
      <c r="J140" t="s">
        <v>990</v>
      </c>
      <c r="K140" t="s">
        <v>991</v>
      </c>
    </row>
    <row r="141" spans="1:11" x14ac:dyDescent="0.35">
      <c r="A141">
        <v>140</v>
      </c>
      <c r="B141" t="s">
        <v>992</v>
      </c>
      <c r="C141" t="s">
        <v>993</v>
      </c>
      <c r="D141" t="s">
        <v>993</v>
      </c>
      <c r="E141">
        <f>lang_families!A27</f>
        <v>26</v>
      </c>
      <c r="F141">
        <f>lang_scopes!A2</f>
        <v>1</v>
      </c>
      <c r="G141">
        <f>lang_scripts!A2</f>
        <v>1</v>
      </c>
      <c r="H141">
        <f>lang_types!A2</f>
        <v>1</v>
      </c>
      <c r="I141" t="s">
        <v>994</v>
      </c>
      <c r="J141" t="s">
        <v>995</v>
      </c>
      <c r="K141" t="s">
        <v>996</v>
      </c>
    </row>
    <row r="142" spans="1:11" x14ac:dyDescent="0.35">
      <c r="A142">
        <v>141</v>
      </c>
      <c r="B142" t="s">
        <v>997</v>
      </c>
      <c r="C142" t="s">
        <v>998</v>
      </c>
      <c r="D142" t="s">
        <v>998</v>
      </c>
      <c r="E142">
        <f>lang_families!A8</f>
        <v>7</v>
      </c>
      <c r="F142">
        <f>lang_scopes!A2</f>
        <v>1</v>
      </c>
      <c r="G142">
        <f>lang_scripts!A2</f>
        <v>1</v>
      </c>
      <c r="H142">
        <f>lang_types!A2</f>
        <v>1</v>
      </c>
      <c r="I142" t="s">
        <v>999</v>
      </c>
      <c r="J142" t="s">
        <v>1000</v>
      </c>
      <c r="K142" t="s">
        <v>1001</v>
      </c>
    </row>
    <row r="143" spans="1:11" x14ac:dyDescent="0.35">
      <c r="A143">
        <v>142</v>
      </c>
      <c r="B143" t="s">
        <v>1002</v>
      </c>
      <c r="C143" t="s">
        <v>1003</v>
      </c>
      <c r="D143" t="s">
        <v>1003</v>
      </c>
      <c r="E143">
        <f>lang_families!A14</f>
        <v>13</v>
      </c>
      <c r="F143">
        <f>lang_scopes!A2</f>
        <v>1</v>
      </c>
      <c r="G143">
        <f>lang_scripts!A26</f>
        <v>25</v>
      </c>
      <c r="H143">
        <f>lang_types!A2</f>
        <v>1</v>
      </c>
      <c r="I143" t="s">
        <v>302</v>
      </c>
      <c r="J143" t="s">
        <v>1004</v>
      </c>
      <c r="K143" t="s">
        <v>1005</v>
      </c>
    </row>
    <row r="144" spans="1:11" x14ac:dyDescent="0.35">
      <c r="A144">
        <v>143</v>
      </c>
      <c r="B144" t="s">
        <v>1006</v>
      </c>
      <c r="C144" t="s">
        <v>1007</v>
      </c>
      <c r="D144" t="s">
        <v>1007</v>
      </c>
      <c r="E144">
        <f>lang_families!A14</f>
        <v>13</v>
      </c>
      <c r="F144">
        <f>lang_scopes!A2</f>
        <v>1</v>
      </c>
      <c r="G144">
        <f>lang_scripts!A2</f>
        <v>1</v>
      </c>
      <c r="H144">
        <f>lang_types!A2</f>
        <v>1</v>
      </c>
      <c r="I144" t="s">
        <v>1008</v>
      </c>
      <c r="J144" t="s">
        <v>1009</v>
      </c>
      <c r="K144" t="s">
        <v>1010</v>
      </c>
    </row>
    <row r="145" spans="1:11" x14ac:dyDescent="0.35">
      <c r="A145">
        <v>144</v>
      </c>
      <c r="B145" t="s">
        <v>1011</v>
      </c>
      <c r="C145" t="s">
        <v>1012</v>
      </c>
      <c r="D145" t="s">
        <v>1012</v>
      </c>
      <c r="E145">
        <f>lang_families!A14</f>
        <v>13</v>
      </c>
      <c r="F145">
        <f>lang_scopes!A2</f>
        <v>1</v>
      </c>
      <c r="G145">
        <f>lang_scripts!A2</f>
        <v>1</v>
      </c>
      <c r="H145">
        <f>lang_types!A2</f>
        <v>1</v>
      </c>
      <c r="I145" t="s">
        <v>1013</v>
      </c>
      <c r="J145" t="s">
        <v>1014</v>
      </c>
      <c r="K145" t="s">
        <v>1015</v>
      </c>
    </row>
    <row r="146" spans="1:11" x14ac:dyDescent="0.35">
      <c r="A146">
        <v>145</v>
      </c>
      <c r="B146" t="s">
        <v>1016</v>
      </c>
      <c r="C146" t="s">
        <v>1017</v>
      </c>
      <c r="D146" t="s">
        <v>1017</v>
      </c>
      <c r="E146">
        <f>lang_families!A17</f>
        <v>16</v>
      </c>
      <c r="F146">
        <f>lang_scopes!A2</f>
        <v>1</v>
      </c>
      <c r="G146">
        <f>lang_scripts!A2</f>
        <v>1</v>
      </c>
      <c r="H146">
        <f>lang_types!A2</f>
        <v>1</v>
      </c>
      <c r="I146" t="s">
        <v>1018</v>
      </c>
      <c r="J146" t="s">
        <v>1019</v>
      </c>
      <c r="K146" t="s">
        <v>1020</v>
      </c>
    </row>
    <row r="147" spans="1:11" x14ac:dyDescent="0.35">
      <c r="A147">
        <v>146</v>
      </c>
      <c r="B147" t="s">
        <v>1021</v>
      </c>
      <c r="C147" t="s">
        <v>1022</v>
      </c>
      <c r="D147" t="s">
        <v>1022</v>
      </c>
      <c r="E147">
        <f>lang_families!A19</f>
        <v>18</v>
      </c>
      <c r="F147">
        <f>lang_scopes!A2</f>
        <v>1</v>
      </c>
      <c r="G147">
        <f>lang_scripts!A2</f>
        <v>1</v>
      </c>
      <c r="H147">
        <f>lang_types!A2</f>
        <v>1</v>
      </c>
      <c r="I147" t="s">
        <v>1023</v>
      </c>
      <c r="J147" t="s">
        <v>1024</v>
      </c>
      <c r="K147" t="s">
        <v>1025</v>
      </c>
    </row>
    <row r="148" spans="1:11" x14ac:dyDescent="0.35">
      <c r="A148">
        <v>147</v>
      </c>
      <c r="B148" t="s">
        <v>1026</v>
      </c>
      <c r="C148" t="s">
        <v>1027</v>
      </c>
      <c r="D148" t="s">
        <v>1027</v>
      </c>
      <c r="E148">
        <f>lang_families!A3</f>
        <v>2</v>
      </c>
      <c r="F148">
        <f>lang_scopes!A2</f>
        <v>1</v>
      </c>
      <c r="G148">
        <f>lang_scripts!A2</f>
        <v>1</v>
      </c>
      <c r="H148">
        <f>lang_types!A2</f>
        <v>1</v>
      </c>
      <c r="I148" t="s">
        <v>1028</v>
      </c>
      <c r="J148" t="s">
        <v>1029</v>
      </c>
      <c r="K148" t="s">
        <v>1030</v>
      </c>
    </row>
    <row r="149" spans="1:11" x14ac:dyDescent="0.35">
      <c r="A149">
        <v>148</v>
      </c>
      <c r="B149" t="s">
        <v>1031</v>
      </c>
      <c r="C149" t="s">
        <v>1032</v>
      </c>
      <c r="D149" t="s">
        <v>1032</v>
      </c>
      <c r="E149">
        <f>lang_families!A14</f>
        <v>13</v>
      </c>
      <c r="F149">
        <f>lang_scopes!A3</f>
        <v>2</v>
      </c>
      <c r="G149">
        <f>lang_scripts!A2</f>
        <v>1</v>
      </c>
      <c r="H149">
        <f>lang_types!A2</f>
        <v>1</v>
      </c>
      <c r="I149" t="s">
        <v>1033</v>
      </c>
      <c r="J149" t="s">
        <v>1034</v>
      </c>
      <c r="K149" t="s">
        <v>1035</v>
      </c>
    </row>
    <row r="150" spans="1:11" x14ac:dyDescent="0.35">
      <c r="A150">
        <v>149</v>
      </c>
      <c r="B150" t="s">
        <v>1036</v>
      </c>
      <c r="C150" t="s">
        <v>1037</v>
      </c>
      <c r="D150" t="s">
        <v>1037</v>
      </c>
      <c r="E150">
        <f>lang_families!A14</f>
        <v>13</v>
      </c>
      <c r="F150">
        <f>lang_scopes!A2</f>
        <v>1</v>
      </c>
      <c r="G150">
        <f>lang_scripts!A3</f>
        <v>2</v>
      </c>
      <c r="H150">
        <f>lang_types!A2</f>
        <v>1</v>
      </c>
      <c r="I150" t="s">
        <v>1038</v>
      </c>
      <c r="J150" t="s">
        <v>1039</v>
      </c>
      <c r="K150" t="s">
        <v>1040</v>
      </c>
    </row>
    <row r="151" spans="1:11" x14ac:dyDescent="0.35">
      <c r="A151">
        <v>150</v>
      </c>
      <c r="B151" t="s">
        <v>1041</v>
      </c>
      <c r="C151" t="s">
        <v>1042</v>
      </c>
      <c r="D151" t="s">
        <v>1042</v>
      </c>
      <c r="E151">
        <f>lang_families!A19</f>
        <v>18</v>
      </c>
      <c r="F151">
        <f>lang_scopes!A2</f>
        <v>1</v>
      </c>
      <c r="G151">
        <f>lang_scripts!A2</f>
        <v>1</v>
      </c>
      <c r="H151">
        <f>lang_types!A2</f>
        <v>1</v>
      </c>
      <c r="I151" t="s">
        <v>1043</v>
      </c>
      <c r="J151" t="s">
        <v>1044</v>
      </c>
      <c r="K151" t="s">
        <v>1045</v>
      </c>
    </row>
    <row r="152" spans="1:11" x14ac:dyDescent="0.35">
      <c r="A152">
        <v>151</v>
      </c>
      <c r="B152" t="s">
        <v>1046</v>
      </c>
      <c r="C152" t="s">
        <v>1047</v>
      </c>
      <c r="D152" t="s">
        <v>1047</v>
      </c>
      <c r="E152">
        <f>lang_families!A19</f>
        <v>18</v>
      </c>
      <c r="F152">
        <f>lang_scopes!A2</f>
        <v>1</v>
      </c>
      <c r="G152">
        <f>lang_scripts!A2</f>
        <v>1</v>
      </c>
      <c r="H152">
        <f>lang_types!A2</f>
        <v>1</v>
      </c>
      <c r="I152" t="s">
        <v>1048</v>
      </c>
      <c r="J152" t="s">
        <v>1049</v>
      </c>
      <c r="K152" t="s">
        <v>1050</v>
      </c>
    </row>
    <row r="153" spans="1:11" x14ac:dyDescent="0.35">
      <c r="A153">
        <v>152</v>
      </c>
      <c r="B153" t="s">
        <v>1051</v>
      </c>
      <c r="C153" t="s">
        <v>1052</v>
      </c>
      <c r="D153" t="s">
        <v>1052</v>
      </c>
      <c r="E153">
        <f>lang_families!A17</f>
        <v>16</v>
      </c>
      <c r="F153">
        <f>lang_scopes!A2</f>
        <v>1</v>
      </c>
      <c r="G153">
        <f>lang_scripts!A2</f>
        <v>1</v>
      </c>
      <c r="H153">
        <f>lang_types!A2</f>
        <v>1</v>
      </c>
      <c r="I153" t="s">
        <v>1053</v>
      </c>
      <c r="J153" t="s">
        <v>1054</v>
      </c>
      <c r="K153" t="s">
        <v>1055</v>
      </c>
    </row>
    <row r="154" spans="1:11" x14ac:dyDescent="0.35">
      <c r="A154">
        <v>153</v>
      </c>
      <c r="B154" t="s">
        <v>1056</v>
      </c>
      <c r="C154" t="s">
        <v>1057</v>
      </c>
      <c r="D154" t="s">
        <v>1057</v>
      </c>
      <c r="E154">
        <f>lang_families!A14</f>
        <v>13</v>
      </c>
      <c r="F154">
        <f>lang_scopes!A2</f>
        <v>1</v>
      </c>
      <c r="G154">
        <f>lang_scripts!A2</f>
        <v>1</v>
      </c>
      <c r="H154">
        <f>lang_types!A2</f>
        <v>1</v>
      </c>
      <c r="I154" t="s">
        <v>1058</v>
      </c>
      <c r="J154" t="s">
        <v>1059</v>
      </c>
      <c r="K154" t="s">
        <v>1060</v>
      </c>
    </row>
    <row r="155" spans="1:11" x14ac:dyDescent="0.35">
      <c r="A155">
        <v>154</v>
      </c>
      <c r="B155" t="s">
        <v>1061</v>
      </c>
      <c r="C155" t="s">
        <v>1062</v>
      </c>
      <c r="D155" t="s">
        <v>1062</v>
      </c>
      <c r="E155">
        <f>lang_families!A19</f>
        <v>18</v>
      </c>
      <c r="F155">
        <f>lang_scopes!A3</f>
        <v>2</v>
      </c>
      <c r="G155">
        <f>lang_scripts!A2</f>
        <v>1</v>
      </c>
      <c r="H155">
        <f>lang_types!A2</f>
        <v>1</v>
      </c>
      <c r="I155" t="s">
        <v>1063</v>
      </c>
      <c r="J155" t="s">
        <v>1064</v>
      </c>
      <c r="K155" t="s">
        <v>1065</v>
      </c>
    </row>
    <row r="156" spans="1:11" x14ac:dyDescent="0.35">
      <c r="A156">
        <v>155</v>
      </c>
      <c r="B156" t="s">
        <v>1066</v>
      </c>
      <c r="C156" t="s">
        <v>1067</v>
      </c>
      <c r="D156" t="s">
        <v>1067</v>
      </c>
      <c r="E156">
        <f>lang_families!A10</f>
        <v>9</v>
      </c>
      <c r="F156">
        <f>lang_scopes!A2</f>
        <v>1</v>
      </c>
      <c r="G156">
        <f>lang_scripts!A27</f>
        <v>26</v>
      </c>
      <c r="H156">
        <f>lang_types!A2</f>
        <v>1</v>
      </c>
      <c r="I156" t="s">
        <v>304</v>
      </c>
      <c r="J156" t="s">
        <v>1068</v>
      </c>
      <c r="K156" t="s">
        <v>1069</v>
      </c>
    </row>
    <row r="157" spans="1:11" x14ac:dyDescent="0.35">
      <c r="A157">
        <v>156</v>
      </c>
      <c r="B157" t="s">
        <v>1070</v>
      </c>
      <c r="C157" t="s">
        <v>1071</v>
      </c>
      <c r="D157" t="s">
        <v>1071</v>
      </c>
      <c r="E157">
        <f>lang_families!A10</f>
        <v>9</v>
      </c>
      <c r="F157">
        <f>lang_scopes!A2</f>
        <v>1</v>
      </c>
      <c r="G157">
        <f>lang_scripts!A28</f>
        <v>27</v>
      </c>
      <c r="H157">
        <f>lang_types!A2</f>
        <v>1</v>
      </c>
      <c r="I157" t="s">
        <v>306</v>
      </c>
      <c r="J157" t="s">
        <v>1072</v>
      </c>
      <c r="K157" t="s">
        <v>1073</v>
      </c>
    </row>
    <row r="158" spans="1:11" x14ac:dyDescent="0.35">
      <c r="A158">
        <v>157</v>
      </c>
      <c r="B158" t="s">
        <v>1074</v>
      </c>
      <c r="C158" t="s">
        <v>1075</v>
      </c>
      <c r="D158" t="s">
        <v>1075</v>
      </c>
      <c r="E158">
        <f>lang_families!A14</f>
        <v>13</v>
      </c>
      <c r="F158">
        <f>lang_scopes!A2</f>
        <v>1</v>
      </c>
      <c r="G158">
        <f>lang_scripts!A3</f>
        <v>2</v>
      </c>
      <c r="H158">
        <f>lang_types!A2</f>
        <v>1</v>
      </c>
      <c r="I158" t="s">
        <v>1076</v>
      </c>
      <c r="J158" t="s">
        <v>1077</v>
      </c>
      <c r="K158" t="s">
        <v>1078</v>
      </c>
    </row>
    <row r="159" spans="1:11" x14ac:dyDescent="0.35">
      <c r="A159">
        <v>158</v>
      </c>
      <c r="B159" t="s">
        <v>1079</v>
      </c>
      <c r="C159" t="s">
        <v>1080</v>
      </c>
      <c r="D159" t="s">
        <v>1080</v>
      </c>
      <c r="E159">
        <f>lang_families!A25</f>
        <v>24</v>
      </c>
      <c r="F159">
        <f>lang_scopes!A2</f>
        <v>1</v>
      </c>
      <c r="G159">
        <f>lang_scripts!A29</f>
        <v>28</v>
      </c>
      <c r="H159">
        <f>lang_types!A2</f>
        <v>1</v>
      </c>
      <c r="I159" t="s">
        <v>307</v>
      </c>
      <c r="J159" t="s">
        <v>1081</v>
      </c>
      <c r="K159" t="s">
        <v>1082</v>
      </c>
    </row>
    <row r="160" spans="1:11" x14ac:dyDescent="0.35">
      <c r="A160">
        <v>159</v>
      </c>
      <c r="B160" t="s">
        <v>1083</v>
      </c>
      <c r="C160" t="s">
        <v>1084</v>
      </c>
      <c r="D160" t="s">
        <v>1084</v>
      </c>
      <c r="E160">
        <f>lang_families!A3</f>
        <v>2</v>
      </c>
      <c r="F160">
        <f>lang_scopes!A2</f>
        <v>1</v>
      </c>
      <c r="G160">
        <f>lang_scripts!A4</f>
        <v>3</v>
      </c>
      <c r="H160">
        <f>lang_types!A2</f>
        <v>1</v>
      </c>
      <c r="I160" t="s">
        <v>1085</v>
      </c>
      <c r="J160" t="s">
        <v>1086</v>
      </c>
      <c r="K160" t="s">
        <v>1087</v>
      </c>
    </row>
    <row r="161" spans="1:11" x14ac:dyDescent="0.35">
      <c r="A161">
        <v>160</v>
      </c>
      <c r="B161" t="s">
        <v>1088</v>
      </c>
      <c r="C161" t="s">
        <v>1089</v>
      </c>
      <c r="D161" t="s">
        <v>1089</v>
      </c>
      <c r="E161">
        <f>lang_families!A78</f>
        <v>77</v>
      </c>
      <c r="F161">
        <f>lang_scopes!A2</f>
        <v>1</v>
      </c>
      <c r="G161">
        <f>lang_scripts!A3</f>
        <v>2</v>
      </c>
      <c r="H161">
        <f>lang_types!A2</f>
        <v>1</v>
      </c>
      <c r="I161" t="s">
        <v>1090</v>
      </c>
      <c r="J161" t="s">
        <v>1091</v>
      </c>
      <c r="K161" t="s">
        <v>1092</v>
      </c>
    </row>
    <row r="162" spans="1:11" x14ac:dyDescent="0.35">
      <c r="A162">
        <v>161</v>
      </c>
      <c r="B162" t="s">
        <v>1093</v>
      </c>
      <c r="C162" t="s">
        <v>1094</v>
      </c>
      <c r="D162" t="s">
        <v>1094</v>
      </c>
      <c r="E162">
        <f>lang_families!A17</f>
        <v>16</v>
      </c>
      <c r="F162">
        <f>lang_scopes!A2</f>
        <v>1</v>
      </c>
      <c r="G162">
        <f>lang_scripts!A2</f>
        <v>1</v>
      </c>
      <c r="H162">
        <f>lang_types!A2</f>
        <v>1</v>
      </c>
      <c r="I162" t="s">
        <v>1095</v>
      </c>
      <c r="J162" t="s">
        <v>1096</v>
      </c>
      <c r="K162" t="s">
        <v>1097</v>
      </c>
    </row>
    <row r="163" spans="1:11" x14ac:dyDescent="0.35">
      <c r="A163">
        <v>162</v>
      </c>
      <c r="B163" t="s">
        <v>1098</v>
      </c>
      <c r="C163" t="s">
        <v>1099</v>
      </c>
      <c r="D163" t="s">
        <v>1099</v>
      </c>
      <c r="E163">
        <f>lang_families!A19</f>
        <v>18</v>
      </c>
      <c r="F163">
        <f>lang_scopes!A2</f>
        <v>1</v>
      </c>
      <c r="G163">
        <f>lang_scripts!A2</f>
        <v>1</v>
      </c>
      <c r="H163">
        <f>lang_types!A2</f>
        <v>1</v>
      </c>
      <c r="I163" t="s">
        <v>1100</v>
      </c>
      <c r="J163" t="s">
        <v>1101</v>
      </c>
      <c r="K163" t="s">
        <v>1102</v>
      </c>
    </row>
    <row r="164" spans="1:11" x14ac:dyDescent="0.35">
      <c r="A164">
        <v>163</v>
      </c>
      <c r="B164" t="s">
        <v>1103</v>
      </c>
      <c r="C164" t="s">
        <v>1104</v>
      </c>
      <c r="D164" t="s">
        <v>1104</v>
      </c>
      <c r="E164">
        <f>lang_families!A17</f>
        <v>16</v>
      </c>
      <c r="F164">
        <f>lang_scopes!A2</f>
        <v>1</v>
      </c>
      <c r="G164">
        <f>lang_scripts!A2</f>
        <v>1</v>
      </c>
      <c r="H164">
        <f>lang_types!A2</f>
        <v>1</v>
      </c>
      <c r="I164" t="s">
        <v>1105</v>
      </c>
      <c r="J164" t="s">
        <v>1106</v>
      </c>
      <c r="K164" t="s">
        <v>1107</v>
      </c>
    </row>
    <row r="165" spans="1:11" x14ac:dyDescent="0.35">
      <c r="A165">
        <v>164</v>
      </c>
      <c r="B165" t="s">
        <v>1108</v>
      </c>
      <c r="C165" t="s">
        <v>1109</v>
      </c>
      <c r="D165" t="s">
        <v>1109</v>
      </c>
      <c r="E165">
        <f>lang_families!A78</f>
        <v>77</v>
      </c>
      <c r="F165">
        <f>lang_scopes!A2</f>
        <v>1</v>
      </c>
      <c r="G165">
        <f>lang_scripts!A2</f>
        <v>1</v>
      </c>
      <c r="H165">
        <f>lang_types!A2</f>
        <v>1</v>
      </c>
      <c r="I165" t="s">
        <v>1110</v>
      </c>
      <c r="J165" t="s">
        <v>1111</v>
      </c>
      <c r="K165" t="s">
        <v>1112</v>
      </c>
    </row>
    <row r="166" spans="1:11" x14ac:dyDescent="0.35">
      <c r="A166">
        <v>165</v>
      </c>
      <c r="B166" t="s">
        <v>1113</v>
      </c>
      <c r="C166" t="s">
        <v>1114</v>
      </c>
      <c r="D166" t="s">
        <v>1114</v>
      </c>
      <c r="E166">
        <f>lang_families!A19</f>
        <v>18</v>
      </c>
      <c r="F166">
        <f>lang_scopes!A2</f>
        <v>1</v>
      </c>
      <c r="G166">
        <f>lang_scripts!A2</f>
        <v>1</v>
      </c>
      <c r="H166">
        <f>lang_types!A2</f>
        <v>1</v>
      </c>
      <c r="I166" t="s">
        <v>1115</v>
      </c>
      <c r="J166" t="s">
        <v>1116</v>
      </c>
      <c r="K166" t="s">
        <v>1117</v>
      </c>
    </row>
    <row r="167" spans="1:11" x14ac:dyDescent="0.35">
      <c r="A167">
        <v>166</v>
      </c>
      <c r="B167" t="s">
        <v>1118</v>
      </c>
      <c r="C167" t="s">
        <v>1119</v>
      </c>
      <c r="D167" t="s">
        <v>1119</v>
      </c>
      <c r="E167">
        <f>lang_families!A78</f>
        <v>77</v>
      </c>
      <c r="F167">
        <f>lang_scopes!A2</f>
        <v>1</v>
      </c>
      <c r="G167">
        <f>lang_scripts!A3</f>
        <v>2</v>
      </c>
      <c r="H167">
        <f>lang_types!A2</f>
        <v>1</v>
      </c>
      <c r="I167" t="s">
        <v>1120</v>
      </c>
      <c r="J167" t="s">
        <v>1121</v>
      </c>
      <c r="K167" t="s">
        <v>1122</v>
      </c>
    </row>
    <row r="168" spans="1:11" x14ac:dyDescent="0.35">
      <c r="A168">
        <v>167</v>
      </c>
      <c r="B168" t="s">
        <v>1123</v>
      </c>
      <c r="C168" t="s">
        <v>1124</v>
      </c>
      <c r="D168" t="s">
        <v>1124</v>
      </c>
      <c r="E168">
        <f>lang_families!A19</f>
        <v>18</v>
      </c>
      <c r="F168">
        <f>lang_scopes!A2</f>
        <v>1</v>
      </c>
      <c r="G168">
        <f>lang_scripts!A2</f>
        <v>1</v>
      </c>
      <c r="H168">
        <f>lang_types!A2</f>
        <v>1</v>
      </c>
      <c r="I168" t="s">
        <v>348</v>
      </c>
      <c r="J168" t="s">
        <v>1125</v>
      </c>
      <c r="K168" t="s">
        <v>1126</v>
      </c>
    </row>
    <row r="169" spans="1:11" x14ac:dyDescent="0.35">
      <c r="A169">
        <v>168</v>
      </c>
      <c r="B169" t="s">
        <v>1127</v>
      </c>
      <c r="C169" t="s">
        <v>1128</v>
      </c>
      <c r="D169" t="s">
        <v>1128</v>
      </c>
      <c r="E169">
        <f>lang_families!A17</f>
        <v>16</v>
      </c>
      <c r="F169">
        <f>lang_scopes!A2</f>
        <v>1</v>
      </c>
      <c r="G169">
        <f>lang_scripts!A2</f>
        <v>1</v>
      </c>
      <c r="H169">
        <f>lang_types!A2</f>
        <v>1</v>
      </c>
      <c r="I169" t="s">
        <v>1129</v>
      </c>
      <c r="J169" t="s">
        <v>1130</v>
      </c>
      <c r="K169" t="s">
        <v>1131</v>
      </c>
    </row>
    <row r="170" spans="1:11" x14ac:dyDescent="0.35">
      <c r="A170">
        <v>169</v>
      </c>
      <c r="B170" t="s">
        <v>1132</v>
      </c>
      <c r="C170" t="s">
        <v>1133</v>
      </c>
      <c r="D170" t="s">
        <v>1133</v>
      </c>
      <c r="E170">
        <f>lang_families!A78</f>
        <v>77</v>
      </c>
      <c r="F170">
        <f>lang_scopes!A2</f>
        <v>1</v>
      </c>
      <c r="G170">
        <f>lang_scripts!A5</f>
        <v>4</v>
      </c>
      <c r="H170">
        <f>lang_types!A2</f>
        <v>1</v>
      </c>
      <c r="I170" t="s">
        <v>1134</v>
      </c>
      <c r="J170" t="s">
        <v>1135</v>
      </c>
      <c r="K170" t="s">
        <v>1136</v>
      </c>
    </row>
    <row r="171" spans="1:11" x14ac:dyDescent="0.35">
      <c r="A171">
        <v>170</v>
      </c>
      <c r="B171" t="s">
        <v>1137</v>
      </c>
      <c r="C171" t="s">
        <v>1138</v>
      </c>
      <c r="D171" t="s">
        <v>1138</v>
      </c>
      <c r="E171">
        <f>lang_families!A14</f>
        <v>13</v>
      </c>
      <c r="F171">
        <f>lang_scopes!A2</f>
        <v>1</v>
      </c>
      <c r="G171">
        <f>lang_scripts!A3</f>
        <v>2</v>
      </c>
      <c r="H171">
        <f>lang_types!A2</f>
        <v>1</v>
      </c>
      <c r="I171" t="s">
        <v>1139</v>
      </c>
      <c r="J171" t="s">
        <v>1140</v>
      </c>
      <c r="K171" t="s">
        <v>1141</v>
      </c>
    </row>
    <row r="172" spans="1:11" x14ac:dyDescent="0.35">
      <c r="A172">
        <v>171</v>
      </c>
      <c r="B172" t="s">
        <v>1142</v>
      </c>
      <c r="C172" t="s">
        <v>1143</v>
      </c>
      <c r="D172" t="s">
        <v>1143</v>
      </c>
      <c r="E172">
        <f>lang_families!A14</f>
        <v>13</v>
      </c>
      <c r="F172">
        <f>lang_scopes!A2</f>
        <v>1</v>
      </c>
      <c r="G172">
        <f>lang_scripts!A5</f>
        <v>4</v>
      </c>
      <c r="H172">
        <f>lang_types!A2</f>
        <v>1</v>
      </c>
      <c r="I172" t="s">
        <v>1144</v>
      </c>
      <c r="J172" t="s">
        <v>1145</v>
      </c>
      <c r="K172" t="s">
        <v>1146</v>
      </c>
    </row>
    <row r="173" spans="1:11" x14ac:dyDescent="0.35">
      <c r="A173">
        <v>172</v>
      </c>
      <c r="B173" t="s">
        <v>1147</v>
      </c>
      <c r="C173" t="s">
        <v>1148</v>
      </c>
      <c r="D173" t="s">
        <v>1148</v>
      </c>
      <c r="E173">
        <f>lang_families!A78</f>
        <v>77</v>
      </c>
      <c r="F173">
        <f>lang_scopes!A3</f>
        <v>2</v>
      </c>
      <c r="G173">
        <f>lang_scripts!A3</f>
        <v>2</v>
      </c>
      <c r="H173">
        <f>lang_types!A2</f>
        <v>1</v>
      </c>
      <c r="I173" t="s">
        <v>1149</v>
      </c>
      <c r="J173" t="s">
        <v>1150</v>
      </c>
      <c r="K173" t="s">
        <v>1151</v>
      </c>
    </row>
    <row r="174" spans="1:11" x14ac:dyDescent="0.35">
      <c r="A174">
        <v>173</v>
      </c>
      <c r="B174" t="s">
        <v>1152</v>
      </c>
      <c r="C174" t="s">
        <v>1153</v>
      </c>
      <c r="D174" t="s">
        <v>1153</v>
      </c>
      <c r="E174">
        <f>lang_families!A19</f>
        <v>18</v>
      </c>
      <c r="F174">
        <f>lang_scopes!A2</f>
        <v>1</v>
      </c>
      <c r="G174">
        <f>lang_scripts!A2</f>
        <v>1</v>
      </c>
      <c r="H174">
        <f>lang_types!A2</f>
        <v>1</v>
      </c>
      <c r="I174" t="s">
        <v>1154</v>
      </c>
      <c r="J174" t="s">
        <v>1155</v>
      </c>
      <c r="K174" t="s">
        <v>1156</v>
      </c>
    </row>
    <row r="175" spans="1:11" x14ac:dyDescent="0.35">
      <c r="A175">
        <v>174</v>
      </c>
      <c r="B175" t="s">
        <v>1157</v>
      </c>
      <c r="C175" t="s">
        <v>1158</v>
      </c>
      <c r="D175" t="s">
        <v>1158</v>
      </c>
      <c r="E175">
        <f>lang_families!A2</f>
        <v>1</v>
      </c>
      <c r="F175">
        <f>lang_scopes!A2</f>
        <v>1</v>
      </c>
      <c r="G175">
        <f>lang_scripts!A2</f>
        <v>1</v>
      </c>
      <c r="H175">
        <f>lang_types!A2</f>
        <v>1</v>
      </c>
      <c r="I175" t="s">
        <v>1159</v>
      </c>
      <c r="J175" t="s">
        <v>1160</v>
      </c>
      <c r="K175" t="s">
        <v>1161</v>
      </c>
    </row>
    <row r="176" spans="1:11" x14ac:dyDescent="0.35">
      <c r="A176">
        <v>175</v>
      </c>
      <c r="B176" t="s">
        <v>1162</v>
      </c>
      <c r="C176" t="s">
        <v>1163</v>
      </c>
      <c r="D176" t="s">
        <v>1163</v>
      </c>
      <c r="E176">
        <f>lang_families!A29</f>
        <v>28</v>
      </c>
      <c r="F176">
        <f>lang_scopes!A2</f>
        <v>1</v>
      </c>
      <c r="G176">
        <f>lang_scripts!A2</f>
        <v>1</v>
      </c>
      <c r="H176">
        <f>lang_types!A4</f>
        <v>3</v>
      </c>
      <c r="I176" t="s">
        <v>1164</v>
      </c>
      <c r="J176" t="s">
        <v>1164</v>
      </c>
      <c r="K176" t="s">
        <v>1165</v>
      </c>
    </row>
    <row r="177" spans="1:11" x14ac:dyDescent="0.35">
      <c r="A177">
        <v>176</v>
      </c>
      <c r="B177" t="s">
        <v>1166</v>
      </c>
      <c r="C177" t="s">
        <v>1167</v>
      </c>
      <c r="D177" t="s">
        <v>1167</v>
      </c>
      <c r="E177">
        <f>lang_families!A14</f>
        <v>13</v>
      </c>
      <c r="F177">
        <f>lang_scopes!A2</f>
        <v>1</v>
      </c>
      <c r="G177">
        <f>lang_scripts!A2</f>
        <v>1</v>
      </c>
      <c r="H177">
        <f>lang_types!A2</f>
        <v>1</v>
      </c>
      <c r="I177" t="s">
        <v>1168</v>
      </c>
      <c r="J177" t="s">
        <v>1169</v>
      </c>
      <c r="K177" t="s">
        <v>1170</v>
      </c>
    </row>
    <row r="178" spans="1:11" x14ac:dyDescent="0.35">
      <c r="A178">
        <v>177</v>
      </c>
      <c r="B178" t="s">
        <v>1171</v>
      </c>
      <c r="C178" t="s">
        <v>1172</v>
      </c>
      <c r="D178" t="s">
        <v>1172</v>
      </c>
      <c r="E178">
        <f>lang_families!A19</f>
        <v>18</v>
      </c>
      <c r="F178">
        <f>lang_scopes!A2</f>
        <v>1</v>
      </c>
      <c r="G178">
        <f>lang_scripts!A2</f>
        <v>1</v>
      </c>
      <c r="H178">
        <f>lang_types!A2</f>
        <v>1</v>
      </c>
      <c r="I178" t="s">
        <v>1173</v>
      </c>
      <c r="J178" t="s">
        <v>1174</v>
      </c>
      <c r="K178" t="s">
        <v>1175</v>
      </c>
    </row>
    <row r="179" spans="1:11" x14ac:dyDescent="0.35">
      <c r="A179">
        <v>178</v>
      </c>
      <c r="B179" t="s">
        <v>1176</v>
      </c>
      <c r="C179" t="s">
        <v>1177</v>
      </c>
      <c r="D179" t="s">
        <v>1177</v>
      </c>
      <c r="E179">
        <f>lang_families!A19</f>
        <v>18</v>
      </c>
      <c r="F179">
        <f>lang_scopes!A2</f>
        <v>1</v>
      </c>
      <c r="G179">
        <f>lang_scripts!A2</f>
        <v>1</v>
      </c>
      <c r="H179">
        <f>lang_types!A2</f>
        <v>1</v>
      </c>
      <c r="I179" t="s">
        <v>1178</v>
      </c>
      <c r="J179" t="s">
        <v>1179</v>
      </c>
      <c r="K179" t="s">
        <v>1180</v>
      </c>
    </row>
    <row r="180" spans="1:11" x14ac:dyDescent="0.35">
      <c r="A180">
        <v>179</v>
      </c>
      <c r="B180" t="s">
        <v>1181</v>
      </c>
      <c r="C180" t="s">
        <v>1182</v>
      </c>
      <c r="D180" t="s">
        <v>1182</v>
      </c>
      <c r="E180">
        <f>lang_families!A14</f>
        <v>13</v>
      </c>
      <c r="F180">
        <f>lang_scopes!A3</f>
        <v>2</v>
      </c>
      <c r="G180">
        <f>lang_scripts!A12</f>
        <v>11</v>
      </c>
      <c r="H180">
        <f>lang_types!A2</f>
        <v>1</v>
      </c>
      <c r="I180" t="s">
        <v>1183</v>
      </c>
      <c r="J180" t="s">
        <v>1184</v>
      </c>
      <c r="K180" t="s">
        <v>1185</v>
      </c>
    </row>
    <row r="181" spans="1:11" x14ac:dyDescent="0.35">
      <c r="A181">
        <v>180</v>
      </c>
      <c r="B181" t="s">
        <v>1186</v>
      </c>
      <c r="C181" t="s">
        <v>1187</v>
      </c>
      <c r="D181" t="s">
        <v>1187</v>
      </c>
      <c r="E181">
        <f>lang_families!A19</f>
        <v>18</v>
      </c>
      <c r="F181">
        <f>lang_scopes!A2</f>
        <v>1</v>
      </c>
      <c r="G181">
        <f>lang_scripts!A2</f>
        <v>1</v>
      </c>
      <c r="H181">
        <f>lang_types!A2</f>
        <v>1</v>
      </c>
      <c r="I181" t="s">
        <v>1188</v>
      </c>
      <c r="J181" t="s">
        <v>1189</v>
      </c>
      <c r="K181" t="s">
        <v>1190</v>
      </c>
    </row>
    <row r="182" spans="1:11" x14ac:dyDescent="0.35">
      <c r="A182">
        <v>181</v>
      </c>
      <c r="B182" t="s">
        <v>1191</v>
      </c>
      <c r="C182" t="s">
        <v>1192</v>
      </c>
      <c r="D182" t="s">
        <v>1192</v>
      </c>
      <c r="E182">
        <f>lang_families!A25</f>
        <v>24</v>
      </c>
      <c r="F182">
        <f>lang_scopes!A3</f>
        <v>2</v>
      </c>
      <c r="G182">
        <f>lang_scripts!A2</f>
        <v>1</v>
      </c>
      <c r="H182">
        <f>lang_types!A2</f>
        <v>1</v>
      </c>
      <c r="I182" t="s">
        <v>1193</v>
      </c>
      <c r="J182" t="s">
        <v>1194</v>
      </c>
      <c r="K182" t="s">
        <v>1195</v>
      </c>
    </row>
    <row r="183" spans="1:11" x14ac:dyDescent="0.35">
      <c r="A183">
        <v>182</v>
      </c>
      <c r="B183" t="s">
        <v>1196</v>
      </c>
      <c r="C183" t="s">
        <v>1197</v>
      </c>
      <c r="D183" t="s">
        <v>1197</v>
      </c>
      <c r="E183">
        <f>lang_families!A23</f>
        <v>22</v>
      </c>
      <c r="F183">
        <f>lang_scopes!A3</f>
        <v>2</v>
      </c>
      <c r="G183">
        <f>lang_scripts!A30</f>
        <v>29</v>
      </c>
      <c r="H183">
        <f>lang_types!A2</f>
        <v>1</v>
      </c>
      <c r="I183" t="s">
        <v>1198</v>
      </c>
      <c r="J183" t="s">
        <v>1199</v>
      </c>
      <c r="K183" t="s">
        <v>1200</v>
      </c>
    </row>
    <row r="184" spans="1:11" x14ac:dyDescent="0.35">
      <c r="A184">
        <v>183</v>
      </c>
      <c r="B184" t="s">
        <v>1201</v>
      </c>
      <c r="C184" t="s">
        <v>1202</v>
      </c>
      <c r="D184" t="s">
        <v>1202</v>
      </c>
      <c r="E184">
        <f>lang_families!A19</f>
        <v>18</v>
      </c>
      <c r="F184">
        <f>lang_scopes!A2</f>
        <v>1</v>
      </c>
      <c r="G184">
        <f>lang_scripts!A2</f>
        <v>1</v>
      </c>
      <c r="H184">
        <f>lang_types!A2</f>
        <v>1</v>
      </c>
      <c r="I184" t="s">
        <v>1203</v>
      </c>
      <c r="J184" t="s">
        <v>1204</v>
      </c>
      <c r="K184" t="s">
        <v>1205</v>
      </c>
    </row>
    <row r="185" spans="1:11" x14ac:dyDescent="0.35">
      <c r="A185" t="s">
        <v>240</v>
      </c>
      <c r="K185">
        <f>SUBTOTAL(103,languages[id])</f>
        <v>183</v>
      </c>
    </row>
  </sheetData>
  <conditionalFormatting sqref="A1:A1048576">
    <cfRule type="duplicateValues" dxfId="5" priority="4"/>
  </conditionalFormatting>
  <conditionalFormatting sqref="B1:B1048576">
    <cfRule type="duplicateValues" dxfId="4" priority="3"/>
  </conditionalFormatting>
  <conditionalFormatting sqref="C1:C1048576">
    <cfRule type="duplicateValues" dxfId="3" priority="2"/>
  </conditionalFormatting>
  <conditionalFormatting sqref="D1:D1048576">
    <cfRule type="duplicateValues" dxfId="2" priority="1"/>
  </conditionalFormatting>
  <dataValidations count="4">
    <dataValidation type="list" allowBlank="1" showInputMessage="1" showErrorMessage="1" sqref="E2:E184" xr:uid="{97A63DD8-FB69-4A6D-9E32-38239CB72CF3}">
      <formula1>INDIRECT("lang_families[id]")</formula1>
    </dataValidation>
    <dataValidation type="list" allowBlank="1" showInputMessage="1" showErrorMessage="1" sqref="F2:F184" xr:uid="{1AF4EE0E-43E7-48AC-BE2C-3303F2C17B3A}">
      <formula1>INDIRECT("lang_scopes[id]")</formula1>
    </dataValidation>
    <dataValidation type="list" allowBlank="1" showInputMessage="1" showErrorMessage="1" sqref="G2:G184" xr:uid="{3DE3CB46-D76F-4C6B-B477-1A5A0D3935D1}">
      <formula1>INDIRECT("lang_scripts[id]")</formula1>
    </dataValidation>
    <dataValidation type="list" allowBlank="1" showInputMessage="1" showErrorMessage="1" sqref="H2:H184" xr:uid="{0C440830-E15E-40DE-A8D8-F7CD617EF5DE}">
      <formula1>INDIRECT("lang_types[id]")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A334-9A51-4DD1-A9A0-9847D24E022D}">
  <dimension ref="A1:F415"/>
  <sheetViews>
    <sheetView topLeftCell="C1" workbookViewId="0">
      <selection activeCell="D4" sqref="D4"/>
    </sheetView>
  </sheetViews>
  <sheetFormatPr defaultRowHeight="14.5" x14ac:dyDescent="0.35"/>
  <cols>
    <col min="1" max="1" width="5.08984375" bestFit="1" customWidth="1"/>
    <col min="2" max="2" width="7.453125" bestFit="1" customWidth="1"/>
    <col min="3" max="3" width="31.26953125" bestFit="1" customWidth="1"/>
    <col min="4" max="4" width="39.6328125" bestFit="1" customWidth="1"/>
    <col min="5" max="5" width="13.08984375" bestFit="1" customWidth="1"/>
    <col min="6" max="6" width="32.26953125" customWidth="1"/>
  </cols>
  <sheetData>
    <row r="1" spans="1:6" x14ac:dyDescent="0.35">
      <c r="A1" t="s">
        <v>0</v>
      </c>
      <c r="B1" t="s">
        <v>1210</v>
      </c>
      <c r="C1" t="s">
        <v>324</v>
      </c>
      <c r="D1" t="s">
        <v>325</v>
      </c>
      <c r="E1" t="s">
        <v>1884</v>
      </c>
      <c r="F1" t="s">
        <v>326</v>
      </c>
    </row>
    <row r="2" spans="1:6" x14ac:dyDescent="0.35">
      <c r="A2">
        <v>1</v>
      </c>
      <c r="B2" t="s">
        <v>327</v>
      </c>
      <c r="C2" t="s">
        <v>329</v>
      </c>
      <c r="D2" t="s">
        <v>330</v>
      </c>
      <c r="E2">
        <f>languages!A2</f>
        <v>1</v>
      </c>
    </row>
    <row r="3" spans="1:6" x14ac:dyDescent="0.35">
      <c r="A3">
        <v>2</v>
      </c>
      <c r="B3" t="s">
        <v>332</v>
      </c>
      <c r="C3" t="s">
        <v>1211</v>
      </c>
      <c r="D3" t="s">
        <v>335</v>
      </c>
      <c r="E3">
        <f>languages!A3</f>
        <v>2</v>
      </c>
    </row>
    <row r="4" spans="1:6" x14ac:dyDescent="0.35">
      <c r="A4">
        <v>3</v>
      </c>
      <c r="B4" t="s">
        <v>337</v>
      </c>
      <c r="C4" t="s">
        <v>339</v>
      </c>
      <c r="D4" t="s">
        <v>340</v>
      </c>
      <c r="E4">
        <f>languages!A4</f>
        <v>3</v>
      </c>
    </row>
    <row r="5" spans="1:6" x14ac:dyDescent="0.35">
      <c r="A5">
        <v>4</v>
      </c>
      <c r="B5" t="s">
        <v>342</v>
      </c>
      <c r="C5" t="s">
        <v>344</v>
      </c>
      <c r="D5" t="s">
        <v>344</v>
      </c>
      <c r="E5">
        <f>languages!A5</f>
        <v>4</v>
      </c>
    </row>
    <row r="6" spans="1:6" x14ac:dyDescent="0.35">
      <c r="A6">
        <v>5</v>
      </c>
      <c r="B6" t="s">
        <v>1212</v>
      </c>
      <c r="C6" t="s">
        <v>1213</v>
      </c>
      <c r="D6" t="s">
        <v>1214</v>
      </c>
      <c r="E6">
        <f>languages!A5</f>
        <v>4</v>
      </c>
    </row>
    <row r="7" spans="1:6" x14ac:dyDescent="0.35">
      <c r="A7">
        <v>6</v>
      </c>
      <c r="B7" t="s">
        <v>1215</v>
      </c>
      <c r="C7" t="s">
        <v>1216</v>
      </c>
      <c r="D7" t="s">
        <v>1217</v>
      </c>
      <c r="E7">
        <f>languages!A5</f>
        <v>4</v>
      </c>
    </row>
    <row r="8" spans="1:6" x14ac:dyDescent="0.35">
      <c r="A8">
        <v>7</v>
      </c>
      <c r="B8" t="s">
        <v>346</v>
      </c>
      <c r="C8" t="s">
        <v>348</v>
      </c>
      <c r="D8" t="s">
        <v>348</v>
      </c>
      <c r="E8">
        <f>languages!A6</f>
        <v>5</v>
      </c>
    </row>
    <row r="9" spans="1:6" x14ac:dyDescent="0.35">
      <c r="A9">
        <v>8</v>
      </c>
      <c r="B9" t="s">
        <v>1218</v>
      </c>
      <c r="C9" t="s">
        <v>1219</v>
      </c>
      <c r="D9" t="s">
        <v>1220</v>
      </c>
      <c r="E9">
        <f>languages!A6</f>
        <v>5</v>
      </c>
    </row>
    <row r="10" spans="1:6" x14ac:dyDescent="0.35">
      <c r="A10">
        <v>9</v>
      </c>
      <c r="B10" t="s">
        <v>350</v>
      </c>
      <c r="C10" t="s">
        <v>352</v>
      </c>
      <c r="D10" t="s">
        <v>353</v>
      </c>
      <c r="E10">
        <f>languages!A7</f>
        <v>6</v>
      </c>
    </row>
    <row r="11" spans="1:6" x14ac:dyDescent="0.35">
      <c r="A11">
        <v>10</v>
      </c>
      <c r="B11" t="s">
        <v>1221</v>
      </c>
      <c r="C11" t="s">
        <v>1222</v>
      </c>
      <c r="D11" t="s">
        <v>1223</v>
      </c>
      <c r="E11">
        <f>languages!A7</f>
        <v>6</v>
      </c>
    </row>
    <row r="12" spans="1:6" x14ac:dyDescent="0.35">
      <c r="A12">
        <v>11</v>
      </c>
      <c r="B12" t="s">
        <v>355</v>
      </c>
      <c r="C12" t="s">
        <v>357</v>
      </c>
      <c r="D12" t="s">
        <v>358</v>
      </c>
      <c r="E12">
        <f>languages!A8</f>
        <v>7</v>
      </c>
    </row>
    <row r="13" spans="1:6" x14ac:dyDescent="0.35">
      <c r="A13">
        <v>12</v>
      </c>
      <c r="B13" t="s">
        <v>360</v>
      </c>
      <c r="C13" t="s">
        <v>259</v>
      </c>
      <c r="D13" t="s">
        <v>362</v>
      </c>
      <c r="E13">
        <f>languages!A9</f>
        <v>8</v>
      </c>
    </row>
    <row r="14" spans="1:6" x14ac:dyDescent="0.35">
      <c r="A14">
        <v>13</v>
      </c>
      <c r="B14" t="s">
        <v>1224</v>
      </c>
      <c r="C14" t="s">
        <v>1225</v>
      </c>
      <c r="D14" t="s">
        <v>1226</v>
      </c>
      <c r="E14">
        <f>languages!A9</f>
        <v>8</v>
      </c>
    </row>
    <row r="15" spans="1:6" x14ac:dyDescent="0.35">
      <c r="A15">
        <v>14</v>
      </c>
      <c r="B15" t="s">
        <v>1227</v>
      </c>
      <c r="C15" t="s">
        <v>1228</v>
      </c>
      <c r="D15" t="s">
        <v>1229</v>
      </c>
      <c r="E15">
        <f>languages!A9</f>
        <v>8</v>
      </c>
    </row>
    <row r="16" spans="1:6" x14ac:dyDescent="0.35">
      <c r="A16">
        <v>15</v>
      </c>
      <c r="B16" t="s">
        <v>1230</v>
      </c>
      <c r="C16" t="s">
        <v>1231</v>
      </c>
      <c r="D16" t="s">
        <v>1232</v>
      </c>
      <c r="E16">
        <f>languages!A9</f>
        <v>8</v>
      </c>
    </row>
    <row r="17" spans="1:5" x14ac:dyDescent="0.35">
      <c r="A17">
        <v>16</v>
      </c>
      <c r="B17" t="s">
        <v>1233</v>
      </c>
      <c r="C17" t="s">
        <v>1234</v>
      </c>
      <c r="D17" t="s">
        <v>1235</v>
      </c>
      <c r="E17">
        <f>languages!A9</f>
        <v>8</v>
      </c>
    </row>
    <row r="18" spans="1:5" x14ac:dyDescent="0.35">
      <c r="A18">
        <v>17</v>
      </c>
      <c r="B18" t="s">
        <v>1236</v>
      </c>
      <c r="C18" t="s">
        <v>1237</v>
      </c>
      <c r="D18" t="s">
        <v>1238</v>
      </c>
      <c r="E18">
        <f>languages!A9</f>
        <v>8</v>
      </c>
    </row>
    <row r="19" spans="1:5" x14ac:dyDescent="0.35">
      <c r="A19">
        <v>18</v>
      </c>
      <c r="B19" t="s">
        <v>1239</v>
      </c>
      <c r="C19" t="s">
        <v>1240</v>
      </c>
      <c r="D19" t="s">
        <v>1241</v>
      </c>
      <c r="E19">
        <f>languages!A9</f>
        <v>8</v>
      </c>
    </row>
    <row r="20" spans="1:5" x14ac:dyDescent="0.35">
      <c r="A20">
        <v>19</v>
      </c>
      <c r="B20" t="s">
        <v>1242</v>
      </c>
      <c r="C20" t="s">
        <v>1243</v>
      </c>
      <c r="D20" t="s">
        <v>1244</v>
      </c>
      <c r="E20">
        <f>languages!A9</f>
        <v>8</v>
      </c>
    </row>
    <row r="21" spans="1:5" x14ac:dyDescent="0.35">
      <c r="A21">
        <v>20</v>
      </c>
      <c r="B21" t="s">
        <v>1245</v>
      </c>
      <c r="C21" t="s">
        <v>1246</v>
      </c>
      <c r="D21" t="s">
        <v>1247</v>
      </c>
      <c r="E21">
        <f>languages!A9</f>
        <v>8</v>
      </c>
    </row>
    <row r="22" spans="1:5" x14ac:dyDescent="0.35">
      <c r="A22">
        <v>21</v>
      </c>
      <c r="B22" t="s">
        <v>1248</v>
      </c>
      <c r="C22" t="s">
        <v>1249</v>
      </c>
      <c r="D22" t="s">
        <v>1250</v>
      </c>
      <c r="E22">
        <f>languages!A9</f>
        <v>8</v>
      </c>
    </row>
    <row r="23" spans="1:5" x14ac:dyDescent="0.35">
      <c r="A23">
        <v>22</v>
      </c>
      <c r="B23" t="s">
        <v>1251</v>
      </c>
      <c r="C23" t="s">
        <v>1252</v>
      </c>
      <c r="D23" t="s">
        <v>1253</v>
      </c>
      <c r="E23">
        <f>languages!A9</f>
        <v>8</v>
      </c>
    </row>
    <row r="24" spans="1:5" x14ac:dyDescent="0.35">
      <c r="A24">
        <v>23</v>
      </c>
      <c r="B24" t="s">
        <v>1254</v>
      </c>
      <c r="C24" t="s">
        <v>1255</v>
      </c>
      <c r="D24" t="s">
        <v>1256</v>
      </c>
      <c r="E24">
        <f>languages!A9</f>
        <v>8</v>
      </c>
    </row>
    <row r="25" spans="1:5" x14ac:dyDescent="0.35">
      <c r="A25">
        <v>24</v>
      </c>
      <c r="B25" t="s">
        <v>1257</v>
      </c>
      <c r="C25" t="s">
        <v>1258</v>
      </c>
      <c r="D25" t="s">
        <v>1259</v>
      </c>
      <c r="E25">
        <f>languages!A9</f>
        <v>8</v>
      </c>
    </row>
    <row r="26" spans="1:5" x14ac:dyDescent="0.35">
      <c r="A26">
        <v>25</v>
      </c>
      <c r="B26" t="s">
        <v>1260</v>
      </c>
      <c r="C26" t="s">
        <v>1261</v>
      </c>
      <c r="D26" t="s">
        <v>1262</v>
      </c>
      <c r="E26">
        <f>languages!A9</f>
        <v>8</v>
      </c>
    </row>
    <row r="27" spans="1:5" x14ac:dyDescent="0.35">
      <c r="A27">
        <v>26</v>
      </c>
      <c r="B27" t="s">
        <v>1263</v>
      </c>
      <c r="C27" t="s">
        <v>1264</v>
      </c>
      <c r="D27" t="s">
        <v>1265</v>
      </c>
      <c r="E27">
        <f>languages!A9</f>
        <v>8</v>
      </c>
    </row>
    <row r="28" spans="1:5" x14ac:dyDescent="0.35">
      <c r="A28">
        <v>27</v>
      </c>
      <c r="B28" t="s">
        <v>1266</v>
      </c>
      <c r="C28" t="s">
        <v>1267</v>
      </c>
      <c r="D28" t="s">
        <v>1268</v>
      </c>
      <c r="E28">
        <f>languages!A9</f>
        <v>8</v>
      </c>
    </row>
    <row r="29" spans="1:5" x14ac:dyDescent="0.35">
      <c r="A29">
        <v>28</v>
      </c>
      <c r="B29" t="s">
        <v>1269</v>
      </c>
      <c r="C29" t="s">
        <v>1270</v>
      </c>
      <c r="D29" t="s">
        <v>1271</v>
      </c>
      <c r="E29">
        <f>languages!A9</f>
        <v>8</v>
      </c>
    </row>
    <row r="30" spans="1:5" x14ac:dyDescent="0.35">
      <c r="A30">
        <v>29</v>
      </c>
      <c r="B30" t="s">
        <v>1272</v>
      </c>
      <c r="C30" t="s">
        <v>1273</v>
      </c>
      <c r="D30" t="s">
        <v>1274</v>
      </c>
      <c r="E30">
        <f>languages!A9</f>
        <v>8</v>
      </c>
    </row>
    <row r="31" spans="1:5" x14ac:dyDescent="0.35">
      <c r="A31">
        <v>30</v>
      </c>
      <c r="B31" t="s">
        <v>364</v>
      </c>
      <c r="C31" t="s">
        <v>366</v>
      </c>
      <c r="D31" t="s">
        <v>367</v>
      </c>
      <c r="E31">
        <f>languages!A10</f>
        <v>9</v>
      </c>
    </row>
    <row r="32" spans="1:5" x14ac:dyDescent="0.35">
      <c r="A32">
        <v>31</v>
      </c>
      <c r="B32" t="s">
        <v>1275</v>
      </c>
      <c r="C32" t="s">
        <v>1276</v>
      </c>
      <c r="D32" t="s">
        <v>1277</v>
      </c>
      <c r="E32">
        <f>languages!A10</f>
        <v>9</v>
      </c>
    </row>
    <row r="33" spans="1:5" x14ac:dyDescent="0.35">
      <c r="A33">
        <v>32</v>
      </c>
      <c r="B33" t="s">
        <v>369</v>
      </c>
      <c r="C33" t="s">
        <v>371</v>
      </c>
      <c r="D33" t="s">
        <v>372</v>
      </c>
      <c r="E33">
        <f>languages!A11</f>
        <v>10</v>
      </c>
    </row>
    <row r="34" spans="1:5" x14ac:dyDescent="0.35">
      <c r="A34">
        <v>33</v>
      </c>
      <c r="B34" t="s">
        <v>374</v>
      </c>
      <c r="C34" t="s">
        <v>375</v>
      </c>
      <c r="D34" t="s">
        <v>376</v>
      </c>
      <c r="E34">
        <f>languages!A12</f>
        <v>11</v>
      </c>
    </row>
    <row r="35" spans="1:5" x14ac:dyDescent="0.35">
      <c r="A35">
        <v>34</v>
      </c>
      <c r="B35" t="s">
        <v>378</v>
      </c>
      <c r="C35" t="s">
        <v>380</v>
      </c>
      <c r="D35" t="s">
        <v>381</v>
      </c>
      <c r="E35">
        <f>languages!A13</f>
        <v>12</v>
      </c>
    </row>
    <row r="36" spans="1:5" x14ac:dyDescent="0.35">
      <c r="A36">
        <v>35</v>
      </c>
      <c r="B36" t="s">
        <v>383</v>
      </c>
      <c r="C36" t="s">
        <v>385</v>
      </c>
      <c r="D36" t="s">
        <v>386</v>
      </c>
      <c r="E36">
        <f>languages!A14</f>
        <v>13</v>
      </c>
    </row>
    <row r="37" spans="1:5" x14ac:dyDescent="0.35">
      <c r="A37">
        <v>36</v>
      </c>
      <c r="B37" t="s">
        <v>388</v>
      </c>
      <c r="C37" t="s">
        <v>390</v>
      </c>
      <c r="D37" t="s">
        <v>391</v>
      </c>
      <c r="E37">
        <f>languages!A15</f>
        <v>14</v>
      </c>
    </row>
    <row r="38" spans="1:5" x14ac:dyDescent="0.35">
      <c r="A38">
        <v>37</v>
      </c>
      <c r="B38" t="s">
        <v>1278</v>
      </c>
      <c r="C38" t="s">
        <v>1279</v>
      </c>
      <c r="D38" t="s">
        <v>1280</v>
      </c>
      <c r="E38">
        <f>languages!A15</f>
        <v>14</v>
      </c>
    </row>
    <row r="39" spans="1:5" x14ac:dyDescent="0.35">
      <c r="A39">
        <v>38</v>
      </c>
      <c r="B39" t="s">
        <v>393</v>
      </c>
      <c r="C39" t="s">
        <v>395</v>
      </c>
      <c r="D39" t="s">
        <v>396</v>
      </c>
      <c r="E39">
        <f>languages!A16</f>
        <v>15</v>
      </c>
    </row>
    <row r="40" spans="1:5" x14ac:dyDescent="0.35">
      <c r="A40">
        <v>39</v>
      </c>
      <c r="B40" t="s">
        <v>1281</v>
      </c>
      <c r="C40" t="s">
        <v>1282</v>
      </c>
      <c r="D40" t="s">
        <v>1283</v>
      </c>
      <c r="E40">
        <f>languages!A16</f>
        <v>15</v>
      </c>
    </row>
    <row r="41" spans="1:5" x14ac:dyDescent="0.35">
      <c r="A41">
        <v>40</v>
      </c>
      <c r="B41" t="s">
        <v>398</v>
      </c>
      <c r="C41" t="s">
        <v>400</v>
      </c>
      <c r="D41" t="s">
        <v>400</v>
      </c>
      <c r="E41">
        <f>languages!A17</f>
        <v>16</v>
      </c>
    </row>
    <row r="42" spans="1:5" x14ac:dyDescent="0.35">
      <c r="A42">
        <v>41</v>
      </c>
      <c r="B42" t="s">
        <v>402</v>
      </c>
      <c r="C42" t="s">
        <v>404</v>
      </c>
      <c r="D42" t="s">
        <v>405</v>
      </c>
      <c r="E42">
        <f>languages!A18</f>
        <v>17</v>
      </c>
    </row>
    <row r="43" spans="1:5" x14ac:dyDescent="0.35">
      <c r="A43">
        <v>42</v>
      </c>
      <c r="B43" t="s">
        <v>1284</v>
      </c>
      <c r="C43" t="s">
        <v>1285</v>
      </c>
      <c r="D43" t="s">
        <v>1286</v>
      </c>
      <c r="E43">
        <f>languages!A18</f>
        <v>17</v>
      </c>
    </row>
    <row r="44" spans="1:5" x14ac:dyDescent="0.35">
      <c r="A44">
        <v>43</v>
      </c>
      <c r="B44" t="s">
        <v>407</v>
      </c>
      <c r="C44" t="s">
        <v>262</v>
      </c>
      <c r="D44" t="s">
        <v>410</v>
      </c>
      <c r="E44">
        <f>languages!A19</f>
        <v>18</v>
      </c>
    </row>
    <row r="45" spans="1:5" x14ac:dyDescent="0.35">
      <c r="A45">
        <v>44</v>
      </c>
      <c r="B45" t="s">
        <v>1287</v>
      </c>
      <c r="C45" t="s">
        <v>1288</v>
      </c>
      <c r="D45" t="s">
        <v>1289</v>
      </c>
      <c r="E45">
        <f>languages!A19</f>
        <v>18</v>
      </c>
    </row>
    <row r="46" spans="1:5" x14ac:dyDescent="0.35">
      <c r="A46">
        <v>45</v>
      </c>
      <c r="B46" t="s">
        <v>1290</v>
      </c>
      <c r="C46" t="s">
        <v>1291</v>
      </c>
      <c r="D46" t="s">
        <v>1292</v>
      </c>
      <c r="E46">
        <f>languages!A19</f>
        <v>18</v>
      </c>
    </row>
    <row r="47" spans="1:5" x14ac:dyDescent="0.35">
      <c r="A47">
        <v>46</v>
      </c>
      <c r="B47" t="s">
        <v>412</v>
      </c>
      <c r="C47" t="s">
        <v>264</v>
      </c>
      <c r="D47" t="s">
        <v>414</v>
      </c>
      <c r="E47">
        <f>languages!A20</f>
        <v>19</v>
      </c>
    </row>
    <row r="48" spans="1:5" x14ac:dyDescent="0.35">
      <c r="A48">
        <v>47</v>
      </c>
      <c r="B48" t="s">
        <v>1293</v>
      </c>
      <c r="C48" t="s">
        <v>1294</v>
      </c>
      <c r="D48" t="s">
        <v>1295</v>
      </c>
      <c r="E48">
        <f>languages!A20</f>
        <v>19</v>
      </c>
    </row>
    <row r="49" spans="1:5" x14ac:dyDescent="0.35">
      <c r="A49">
        <v>48</v>
      </c>
      <c r="B49" t="s">
        <v>1296</v>
      </c>
      <c r="C49" t="s">
        <v>1297</v>
      </c>
      <c r="D49" t="s">
        <v>1298</v>
      </c>
      <c r="E49">
        <f>languages!A20</f>
        <v>19</v>
      </c>
    </row>
    <row r="50" spans="1:5" x14ac:dyDescent="0.35">
      <c r="A50">
        <v>49</v>
      </c>
      <c r="B50" t="s">
        <v>416</v>
      </c>
      <c r="C50" t="s">
        <v>418</v>
      </c>
      <c r="D50" t="s">
        <v>419</v>
      </c>
      <c r="E50">
        <f>languages!A21</f>
        <v>20</v>
      </c>
    </row>
    <row r="51" spans="1:5" x14ac:dyDescent="0.35">
      <c r="A51">
        <v>50</v>
      </c>
      <c r="B51" t="s">
        <v>1299</v>
      </c>
      <c r="C51" t="s">
        <v>1300</v>
      </c>
      <c r="D51" t="s">
        <v>1301</v>
      </c>
      <c r="E51">
        <f>languages!A21</f>
        <v>20</v>
      </c>
    </row>
    <row r="52" spans="1:5" x14ac:dyDescent="0.35">
      <c r="A52">
        <v>51</v>
      </c>
      <c r="B52" t="s">
        <v>421</v>
      </c>
      <c r="C52" t="s">
        <v>423</v>
      </c>
      <c r="D52" t="s">
        <v>424</v>
      </c>
      <c r="E52">
        <f>languages!A22</f>
        <v>21</v>
      </c>
    </row>
    <row r="53" spans="1:5" x14ac:dyDescent="0.35">
      <c r="A53">
        <v>52</v>
      </c>
      <c r="B53" t="s">
        <v>1302</v>
      </c>
      <c r="C53" t="s">
        <v>1303</v>
      </c>
      <c r="D53" t="s">
        <v>1304</v>
      </c>
      <c r="E53">
        <f>languages!A22</f>
        <v>21</v>
      </c>
    </row>
    <row r="54" spans="1:5" x14ac:dyDescent="0.35">
      <c r="A54">
        <v>53</v>
      </c>
      <c r="B54" t="s">
        <v>426</v>
      </c>
      <c r="C54" t="s">
        <v>428</v>
      </c>
      <c r="D54" t="s">
        <v>429</v>
      </c>
      <c r="E54">
        <f>languages!A23</f>
        <v>22</v>
      </c>
    </row>
    <row r="55" spans="1:5" x14ac:dyDescent="0.35">
      <c r="A55">
        <v>54</v>
      </c>
      <c r="B55" t="s">
        <v>1305</v>
      </c>
      <c r="C55" t="s">
        <v>1306</v>
      </c>
      <c r="D55" t="s">
        <v>1307</v>
      </c>
      <c r="E55">
        <f>languages!A23</f>
        <v>22</v>
      </c>
    </row>
    <row r="56" spans="1:5" x14ac:dyDescent="0.35">
      <c r="A56">
        <v>55</v>
      </c>
      <c r="B56" t="s">
        <v>431</v>
      </c>
      <c r="C56" t="s">
        <v>433</v>
      </c>
      <c r="D56" t="s">
        <v>434</v>
      </c>
      <c r="E56">
        <f>languages!A24</f>
        <v>23</v>
      </c>
    </row>
    <row r="57" spans="1:5" x14ac:dyDescent="0.35">
      <c r="A57">
        <v>56</v>
      </c>
      <c r="B57" t="s">
        <v>436</v>
      </c>
      <c r="C57" t="s">
        <v>438</v>
      </c>
      <c r="D57" t="s">
        <v>439</v>
      </c>
      <c r="E57">
        <f>languages!A25</f>
        <v>24</v>
      </c>
    </row>
    <row r="58" spans="1:5" x14ac:dyDescent="0.35">
      <c r="A58">
        <v>57</v>
      </c>
      <c r="B58" t="s">
        <v>441</v>
      </c>
      <c r="C58" t="s">
        <v>443</v>
      </c>
      <c r="D58" t="s">
        <v>444</v>
      </c>
      <c r="E58">
        <f>languages!A26</f>
        <v>25</v>
      </c>
    </row>
    <row r="59" spans="1:5" x14ac:dyDescent="0.35">
      <c r="A59">
        <v>58</v>
      </c>
      <c r="B59" t="s">
        <v>446</v>
      </c>
      <c r="C59" t="s">
        <v>448</v>
      </c>
      <c r="D59" t="s">
        <v>449</v>
      </c>
      <c r="E59">
        <f>languages!A27</f>
        <v>26</v>
      </c>
    </row>
    <row r="60" spans="1:5" x14ac:dyDescent="0.35">
      <c r="A60">
        <v>59</v>
      </c>
      <c r="B60" t="s">
        <v>451</v>
      </c>
      <c r="C60" t="s">
        <v>453</v>
      </c>
      <c r="D60" t="s">
        <v>454</v>
      </c>
      <c r="E60">
        <f>languages!A28</f>
        <v>27</v>
      </c>
    </row>
    <row r="61" spans="1:5" x14ac:dyDescent="0.35">
      <c r="A61">
        <v>60</v>
      </c>
      <c r="B61" t="s">
        <v>1308</v>
      </c>
      <c r="C61" t="s">
        <v>1309</v>
      </c>
      <c r="D61" t="s">
        <v>1310</v>
      </c>
      <c r="E61">
        <f>languages!A28</f>
        <v>27</v>
      </c>
    </row>
    <row r="62" spans="1:5" x14ac:dyDescent="0.35">
      <c r="A62">
        <v>61</v>
      </c>
      <c r="B62" t="s">
        <v>456</v>
      </c>
      <c r="C62" t="s">
        <v>458</v>
      </c>
      <c r="D62" t="s">
        <v>459</v>
      </c>
      <c r="E62">
        <f>languages!A29</f>
        <v>28</v>
      </c>
    </row>
    <row r="63" spans="1:5" x14ac:dyDescent="0.35">
      <c r="A63">
        <v>62</v>
      </c>
      <c r="B63" t="s">
        <v>461</v>
      </c>
      <c r="C63" t="s">
        <v>463</v>
      </c>
      <c r="D63" t="s">
        <v>464</v>
      </c>
      <c r="E63">
        <f>languages!A30</f>
        <v>29</v>
      </c>
    </row>
    <row r="64" spans="1:5" x14ac:dyDescent="0.35">
      <c r="A64">
        <v>63</v>
      </c>
      <c r="B64" t="s">
        <v>466</v>
      </c>
      <c r="C64" t="s">
        <v>468</v>
      </c>
      <c r="D64" t="s">
        <v>469</v>
      </c>
      <c r="E64">
        <f>languages!A31</f>
        <v>30</v>
      </c>
    </row>
    <row r="65" spans="1:5" x14ac:dyDescent="0.35">
      <c r="A65">
        <v>64</v>
      </c>
      <c r="B65" t="s">
        <v>1311</v>
      </c>
      <c r="C65" t="s">
        <v>1312</v>
      </c>
      <c r="D65" t="s">
        <v>1313</v>
      </c>
      <c r="E65">
        <f>languages!A31</f>
        <v>30</v>
      </c>
    </row>
    <row r="66" spans="1:5" x14ac:dyDescent="0.35">
      <c r="A66">
        <v>65</v>
      </c>
      <c r="B66" t="s">
        <v>471</v>
      </c>
      <c r="C66" t="s">
        <v>473</v>
      </c>
      <c r="D66" t="s">
        <v>474</v>
      </c>
      <c r="E66">
        <f>languages!A32</f>
        <v>31</v>
      </c>
    </row>
    <row r="67" spans="1:5" x14ac:dyDescent="0.35">
      <c r="A67">
        <v>66</v>
      </c>
      <c r="B67" t="s">
        <v>1314</v>
      </c>
      <c r="C67" t="s">
        <v>1315</v>
      </c>
      <c r="D67" t="s">
        <v>1316</v>
      </c>
      <c r="E67">
        <f>languages!A32</f>
        <v>31</v>
      </c>
    </row>
    <row r="68" spans="1:5" x14ac:dyDescent="0.35">
      <c r="A68">
        <v>67</v>
      </c>
      <c r="B68" t="s">
        <v>476</v>
      </c>
      <c r="C68" t="s">
        <v>478</v>
      </c>
      <c r="D68" t="s">
        <v>479</v>
      </c>
      <c r="E68">
        <f>languages!A33</f>
        <v>32</v>
      </c>
    </row>
    <row r="69" spans="1:5" x14ac:dyDescent="0.35">
      <c r="A69">
        <v>68</v>
      </c>
      <c r="B69" t="s">
        <v>1317</v>
      </c>
      <c r="C69" t="s">
        <v>1318</v>
      </c>
      <c r="D69" t="s">
        <v>1319</v>
      </c>
      <c r="E69">
        <f>languages!A33</f>
        <v>32</v>
      </c>
    </row>
    <row r="70" spans="1:5" x14ac:dyDescent="0.35">
      <c r="A70">
        <v>69</v>
      </c>
      <c r="B70" t="s">
        <v>1320</v>
      </c>
      <c r="C70" t="s">
        <v>1321</v>
      </c>
      <c r="D70" t="s">
        <v>1322</v>
      </c>
      <c r="E70">
        <f>languages!A33</f>
        <v>32</v>
      </c>
    </row>
    <row r="71" spans="1:5" x14ac:dyDescent="0.35">
      <c r="A71">
        <v>70</v>
      </c>
      <c r="B71" t="s">
        <v>1323</v>
      </c>
      <c r="C71" t="s">
        <v>1324</v>
      </c>
      <c r="D71" t="s">
        <v>1325</v>
      </c>
      <c r="E71">
        <f>languages!A33</f>
        <v>32</v>
      </c>
    </row>
    <row r="72" spans="1:5" x14ac:dyDescent="0.35">
      <c r="A72">
        <v>71</v>
      </c>
      <c r="B72" t="s">
        <v>1326</v>
      </c>
      <c r="C72" t="s">
        <v>1327</v>
      </c>
      <c r="D72" t="s">
        <v>1328</v>
      </c>
      <c r="E72">
        <f>languages!A33</f>
        <v>32</v>
      </c>
    </row>
    <row r="73" spans="1:5" x14ac:dyDescent="0.35">
      <c r="A73">
        <v>72</v>
      </c>
      <c r="B73" t="s">
        <v>1329</v>
      </c>
      <c r="C73" t="s">
        <v>1330</v>
      </c>
      <c r="D73" t="s">
        <v>1331</v>
      </c>
      <c r="E73">
        <f>languages!A33</f>
        <v>32</v>
      </c>
    </row>
    <row r="74" spans="1:5" x14ac:dyDescent="0.35">
      <c r="A74">
        <v>73</v>
      </c>
      <c r="B74" t="s">
        <v>1332</v>
      </c>
      <c r="C74" t="s">
        <v>1333</v>
      </c>
      <c r="D74" t="s">
        <v>1334</v>
      </c>
      <c r="E74">
        <f>languages!A33</f>
        <v>32</v>
      </c>
    </row>
    <row r="75" spans="1:5" x14ac:dyDescent="0.35">
      <c r="A75">
        <v>74</v>
      </c>
      <c r="B75" t="s">
        <v>481</v>
      </c>
      <c r="C75" t="s">
        <v>1335</v>
      </c>
      <c r="D75" t="s">
        <v>484</v>
      </c>
      <c r="E75">
        <f>languages!A34</f>
        <v>33</v>
      </c>
    </row>
    <row r="76" spans="1:5" x14ac:dyDescent="0.35">
      <c r="A76">
        <v>75</v>
      </c>
      <c r="B76" t="s">
        <v>486</v>
      </c>
      <c r="C76" t="s">
        <v>488</v>
      </c>
      <c r="D76" t="s">
        <v>489</v>
      </c>
      <c r="E76">
        <f>languages!A35</f>
        <v>34</v>
      </c>
    </row>
    <row r="77" spans="1:5" x14ac:dyDescent="0.35">
      <c r="A77">
        <v>76</v>
      </c>
      <c r="B77" t="s">
        <v>491</v>
      </c>
      <c r="C77" t="s">
        <v>493</v>
      </c>
      <c r="D77" t="s">
        <v>494</v>
      </c>
      <c r="E77">
        <f>languages!A36</f>
        <v>35</v>
      </c>
    </row>
    <row r="78" spans="1:5" x14ac:dyDescent="0.35">
      <c r="A78">
        <v>77</v>
      </c>
      <c r="B78" t="s">
        <v>1336</v>
      </c>
      <c r="C78" t="s">
        <v>1337</v>
      </c>
      <c r="D78" t="s">
        <v>1338</v>
      </c>
      <c r="E78">
        <f>languages!A36</f>
        <v>35</v>
      </c>
    </row>
    <row r="79" spans="1:5" x14ac:dyDescent="0.35">
      <c r="A79">
        <v>78</v>
      </c>
      <c r="B79" t="s">
        <v>1339</v>
      </c>
      <c r="C79" t="s">
        <v>1340</v>
      </c>
      <c r="D79" t="s">
        <v>1341</v>
      </c>
      <c r="E79">
        <f>languages!A36</f>
        <v>35</v>
      </c>
    </row>
    <row r="80" spans="1:5" x14ac:dyDescent="0.35">
      <c r="A80">
        <v>79</v>
      </c>
      <c r="B80" t="s">
        <v>496</v>
      </c>
      <c r="C80" t="s">
        <v>270</v>
      </c>
      <c r="D80" t="s">
        <v>498</v>
      </c>
      <c r="E80">
        <f>languages!A37</f>
        <v>36</v>
      </c>
    </row>
    <row r="81" spans="1:5" x14ac:dyDescent="0.35">
      <c r="A81">
        <v>80</v>
      </c>
      <c r="B81" t="s">
        <v>1342</v>
      </c>
      <c r="C81" t="s">
        <v>1343</v>
      </c>
      <c r="D81" t="s">
        <v>1344</v>
      </c>
      <c r="E81">
        <f>languages!A37</f>
        <v>36</v>
      </c>
    </row>
    <row r="82" spans="1:5" x14ac:dyDescent="0.35">
      <c r="A82">
        <v>81</v>
      </c>
      <c r="B82" t="s">
        <v>1345</v>
      </c>
      <c r="C82" t="s">
        <v>1346</v>
      </c>
      <c r="D82" t="s">
        <v>1347</v>
      </c>
      <c r="E82">
        <f>languages!A37</f>
        <v>36</v>
      </c>
    </row>
    <row r="83" spans="1:5" x14ac:dyDescent="0.35">
      <c r="A83">
        <v>82</v>
      </c>
      <c r="B83" t="s">
        <v>500</v>
      </c>
      <c r="C83" t="s">
        <v>502</v>
      </c>
      <c r="D83" t="s">
        <v>502</v>
      </c>
      <c r="E83">
        <f>languages!A38</f>
        <v>37</v>
      </c>
    </row>
    <row r="84" spans="1:5" x14ac:dyDescent="0.35">
      <c r="A84">
        <v>83</v>
      </c>
      <c r="B84" t="s">
        <v>1348</v>
      </c>
      <c r="C84" t="s">
        <v>1349</v>
      </c>
      <c r="D84" t="s">
        <v>1349</v>
      </c>
      <c r="E84">
        <f>languages!A38</f>
        <v>37</v>
      </c>
    </row>
    <row r="85" spans="1:5" x14ac:dyDescent="0.35">
      <c r="A85">
        <v>84</v>
      </c>
      <c r="B85" t="s">
        <v>1350</v>
      </c>
      <c r="C85" t="s">
        <v>1351</v>
      </c>
      <c r="D85" t="s">
        <v>1351</v>
      </c>
      <c r="E85">
        <f>languages!A38</f>
        <v>37</v>
      </c>
    </row>
    <row r="86" spans="1:5" x14ac:dyDescent="0.35">
      <c r="A86">
        <v>85</v>
      </c>
      <c r="B86" t="s">
        <v>1352</v>
      </c>
      <c r="C86" t="s">
        <v>1353</v>
      </c>
      <c r="D86" t="s">
        <v>1353</v>
      </c>
      <c r="E86">
        <f>languages!A38</f>
        <v>37</v>
      </c>
    </row>
    <row r="87" spans="1:5" x14ac:dyDescent="0.35">
      <c r="A87">
        <v>86</v>
      </c>
      <c r="B87" t="s">
        <v>1354</v>
      </c>
      <c r="C87" t="s">
        <v>1355</v>
      </c>
      <c r="D87" t="s">
        <v>1355</v>
      </c>
      <c r="E87">
        <f>languages!A38</f>
        <v>37</v>
      </c>
    </row>
    <row r="88" spans="1:5" x14ac:dyDescent="0.35">
      <c r="A88">
        <v>87</v>
      </c>
      <c r="B88" t="s">
        <v>1356</v>
      </c>
      <c r="C88" t="s">
        <v>1357</v>
      </c>
      <c r="D88" t="s">
        <v>1357</v>
      </c>
      <c r="E88">
        <f>languages!A38</f>
        <v>37</v>
      </c>
    </row>
    <row r="89" spans="1:5" x14ac:dyDescent="0.35">
      <c r="A89">
        <v>88</v>
      </c>
      <c r="B89" t="s">
        <v>1358</v>
      </c>
      <c r="C89" t="s">
        <v>1359</v>
      </c>
      <c r="D89" t="s">
        <v>1359</v>
      </c>
      <c r="E89">
        <f>languages!A38</f>
        <v>37</v>
      </c>
    </row>
    <row r="90" spans="1:5" x14ac:dyDescent="0.35">
      <c r="A90">
        <v>89</v>
      </c>
      <c r="B90" t="s">
        <v>1360</v>
      </c>
      <c r="C90" t="s">
        <v>1361</v>
      </c>
      <c r="D90" t="s">
        <v>1361</v>
      </c>
      <c r="E90">
        <f>languages!A38</f>
        <v>37</v>
      </c>
    </row>
    <row r="91" spans="1:5" x14ac:dyDescent="0.35">
      <c r="A91">
        <v>90</v>
      </c>
      <c r="B91" t="s">
        <v>1362</v>
      </c>
      <c r="C91" t="s">
        <v>1363</v>
      </c>
      <c r="D91" t="s">
        <v>1363</v>
      </c>
      <c r="E91">
        <f>languages!A38</f>
        <v>37</v>
      </c>
    </row>
    <row r="92" spans="1:5" x14ac:dyDescent="0.35">
      <c r="A92">
        <v>91</v>
      </c>
      <c r="B92" t="s">
        <v>1364</v>
      </c>
      <c r="C92" t="s">
        <v>1365</v>
      </c>
      <c r="D92" t="s">
        <v>1365</v>
      </c>
      <c r="E92">
        <f>languages!A38</f>
        <v>37</v>
      </c>
    </row>
    <row r="93" spans="1:5" x14ac:dyDescent="0.35">
      <c r="A93">
        <v>92</v>
      </c>
      <c r="B93" t="s">
        <v>1366</v>
      </c>
      <c r="C93" t="s">
        <v>1367</v>
      </c>
      <c r="D93" t="s">
        <v>1367</v>
      </c>
      <c r="E93">
        <f>languages!A38</f>
        <v>37</v>
      </c>
    </row>
    <row r="94" spans="1:5" x14ac:dyDescent="0.35">
      <c r="A94">
        <v>93</v>
      </c>
      <c r="B94" t="s">
        <v>1368</v>
      </c>
      <c r="C94" t="s">
        <v>1369</v>
      </c>
      <c r="D94" t="s">
        <v>1369</v>
      </c>
      <c r="E94">
        <f>languages!A38</f>
        <v>37</v>
      </c>
    </row>
    <row r="95" spans="1:5" x14ac:dyDescent="0.35">
      <c r="A95">
        <v>94</v>
      </c>
      <c r="B95" t="s">
        <v>1370</v>
      </c>
      <c r="C95" t="s">
        <v>1371</v>
      </c>
      <c r="D95" t="s">
        <v>1371</v>
      </c>
      <c r="E95">
        <f>languages!A38</f>
        <v>37</v>
      </c>
    </row>
    <row r="96" spans="1:5" x14ac:dyDescent="0.35">
      <c r="A96">
        <v>95</v>
      </c>
      <c r="B96" t="s">
        <v>1372</v>
      </c>
      <c r="C96" t="s">
        <v>1373</v>
      </c>
      <c r="D96" t="s">
        <v>1373</v>
      </c>
      <c r="E96">
        <f>languages!A38</f>
        <v>37</v>
      </c>
    </row>
    <row r="97" spans="1:5" x14ac:dyDescent="0.35">
      <c r="A97">
        <v>96</v>
      </c>
      <c r="B97" t="s">
        <v>1374</v>
      </c>
      <c r="C97" t="s">
        <v>1375</v>
      </c>
      <c r="D97" t="s">
        <v>1375</v>
      </c>
      <c r="E97">
        <f>languages!A38</f>
        <v>37</v>
      </c>
    </row>
    <row r="98" spans="1:5" x14ac:dyDescent="0.35">
      <c r="A98">
        <v>97</v>
      </c>
      <c r="B98" t="s">
        <v>1376</v>
      </c>
      <c r="C98" t="s">
        <v>1377</v>
      </c>
      <c r="D98" t="s">
        <v>1377</v>
      </c>
      <c r="E98">
        <f>languages!A38</f>
        <v>37</v>
      </c>
    </row>
    <row r="99" spans="1:5" x14ac:dyDescent="0.35">
      <c r="A99">
        <v>98</v>
      </c>
      <c r="B99" t="s">
        <v>1378</v>
      </c>
      <c r="C99" t="s">
        <v>1379</v>
      </c>
      <c r="D99" t="s">
        <v>1379</v>
      </c>
      <c r="E99">
        <f>languages!A38</f>
        <v>37</v>
      </c>
    </row>
    <row r="100" spans="1:5" x14ac:dyDescent="0.35">
      <c r="A100">
        <v>99</v>
      </c>
      <c r="B100" t="s">
        <v>1380</v>
      </c>
      <c r="C100" t="s">
        <v>1381</v>
      </c>
      <c r="D100" t="s">
        <v>1381</v>
      </c>
      <c r="E100">
        <f>languages!A38</f>
        <v>37</v>
      </c>
    </row>
    <row r="101" spans="1:5" x14ac:dyDescent="0.35">
      <c r="A101">
        <v>100</v>
      </c>
      <c r="B101" t="s">
        <v>1382</v>
      </c>
      <c r="C101" t="s">
        <v>1383</v>
      </c>
      <c r="D101" t="s">
        <v>1383</v>
      </c>
      <c r="E101">
        <f>languages!A38</f>
        <v>37</v>
      </c>
    </row>
    <row r="102" spans="1:5" x14ac:dyDescent="0.35">
      <c r="A102">
        <v>101</v>
      </c>
      <c r="B102" t="s">
        <v>1384</v>
      </c>
      <c r="C102" t="s">
        <v>1385</v>
      </c>
      <c r="D102" t="s">
        <v>1385</v>
      </c>
      <c r="E102">
        <f>languages!A38</f>
        <v>37</v>
      </c>
    </row>
    <row r="103" spans="1:5" x14ac:dyDescent="0.35">
      <c r="A103">
        <v>102</v>
      </c>
      <c r="B103" t="s">
        <v>1386</v>
      </c>
      <c r="C103" t="s">
        <v>1387</v>
      </c>
      <c r="D103" t="s">
        <v>1387</v>
      </c>
      <c r="E103">
        <f>languages!A38</f>
        <v>37</v>
      </c>
    </row>
    <row r="104" spans="1:5" x14ac:dyDescent="0.35">
      <c r="A104">
        <v>103</v>
      </c>
      <c r="B104" t="s">
        <v>1388</v>
      </c>
      <c r="C104" t="s">
        <v>1389</v>
      </c>
      <c r="D104" t="s">
        <v>1389</v>
      </c>
      <c r="E104">
        <f>languages!A38</f>
        <v>37</v>
      </c>
    </row>
    <row r="105" spans="1:5" x14ac:dyDescent="0.35">
      <c r="A105">
        <v>104</v>
      </c>
      <c r="B105" t="s">
        <v>1390</v>
      </c>
      <c r="C105" t="s">
        <v>1391</v>
      </c>
      <c r="D105" t="s">
        <v>1391</v>
      </c>
      <c r="E105">
        <f>languages!A38</f>
        <v>37</v>
      </c>
    </row>
    <row r="106" spans="1:5" x14ac:dyDescent="0.35">
      <c r="A106">
        <v>105</v>
      </c>
      <c r="B106" t="s">
        <v>1392</v>
      </c>
      <c r="C106" t="s">
        <v>1393</v>
      </c>
      <c r="D106" t="s">
        <v>1393</v>
      </c>
      <c r="E106">
        <f>languages!A38</f>
        <v>37</v>
      </c>
    </row>
    <row r="107" spans="1:5" x14ac:dyDescent="0.35">
      <c r="A107">
        <v>106</v>
      </c>
      <c r="B107" t="s">
        <v>1394</v>
      </c>
      <c r="C107" t="s">
        <v>1395</v>
      </c>
      <c r="D107" t="s">
        <v>1395</v>
      </c>
      <c r="E107">
        <f>languages!A38</f>
        <v>37</v>
      </c>
    </row>
    <row r="108" spans="1:5" x14ac:dyDescent="0.35">
      <c r="A108">
        <v>107</v>
      </c>
      <c r="B108" t="s">
        <v>1396</v>
      </c>
      <c r="C108" t="s">
        <v>1397</v>
      </c>
      <c r="D108" t="s">
        <v>1397</v>
      </c>
      <c r="E108">
        <f>languages!A38</f>
        <v>37</v>
      </c>
    </row>
    <row r="109" spans="1:5" x14ac:dyDescent="0.35">
      <c r="A109">
        <v>108</v>
      </c>
      <c r="B109" t="s">
        <v>1398</v>
      </c>
      <c r="C109" t="s">
        <v>1399</v>
      </c>
      <c r="D109" t="s">
        <v>1399</v>
      </c>
      <c r="E109">
        <f>languages!A38</f>
        <v>37</v>
      </c>
    </row>
    <row r="110" spans="1:5" x14ac:dyDescent="0.35">
      <c r="A110">
        <v>109</v>
      </c>
      <c r="B110" t="s">
        <v>1400</v>
      </c>
      <c r="C110" t="s">
        <v>1401</v>
      </c>
      <c r="D110" t="s">
        <v>1401</v>
      </c>
      <c r="E110">
        <f>languages!A38</f>
        <v>37</v>
      </c>
    </row>
    <row r="111" spans="1:5" x14ac:dyDescent="0.35">
      <c r="A111">
        <v>110</v>
      </c>
      <c r="B111" t="s">
        <v>1402</v>
      </c>
      <c r="C111" t="s">
        <v>1403</v>
      </c>
      <c r="D111" t="s">
        <v>1403</v>
      </c>
      <c r="E111">
        <f>languages!A38</f>
        <v>37</v>
      </c>
    </row>
    <row r="112" spans="1:5" x14ac:dyDescent="0.35">
      <c r="A112">
        <v>111</v>
      </c>
      <c r="B112" t="s">
        <v>1404</v>
      </c>
      <c r="C112" t="s">
        <v>1405</v>
      </c>
      <c r="D112" t="s">
        <v>1405</v>
      </c>
      <c r="E112">
        <f>languages!A38</f>
        <v>37</v>
      </c>
    </row>
    <row r="113" spans="1:5" x14ac:dyDescent="0.35">
      <c r="A113">
        <v>112</v>
      </c>
      <c r="B113" t="s">
        <v>1406</v>
      </c>
      <c r="C113" t="s">
        <v>1407</v>
      </c>
      <c r="D113" t="s">
        <v>1407</v>
      </c>
      <c r="E113">
        <f>languages!A38</f>
        <v>37</v>
      </c>
    </row>
    <row r="114" spans="1:5" x14ac:dyDescent="0.35">
      <c r="A114">
        <v>113</v>
      </c>
      <c r="B114" t="s">
        <v>504</v>
      </c>
      <c r="C114" t="s">
        <v>506</v>
      </c>
      <c r="D114" t="s">
        <v>506</v>
      </c>
      <c r="E114">
        <f>languages!A39</f>
        <v>38</v>
      </c>
    </row>
    <row r="115" spans="1:5" x14ac:dyDescent="0.35">
      <c r="A115">
        <v>114</v>
      </c>
      <c r="B115" t="s">
        <v>508</v>
      </c>
      <c r="C115" t="s">
        <v>510</v>
      </c>
      <c r="D115" t="s">
        <v>511</v>
      </c>
      <c r="E115">
        <f>languages!A40</f>
        <v>39</v>
      </c>
    </row>
    <row r="116" spans="1:5" x14ac:dyDescent="0.35">
      <c r="A116">
        <v>115</v>
      </c>
      <c r="B116" t="s">
        <v>1408</v>
      </c>
      <c r="C116" t="s">
        <v>1409</v>
      </c>
      <c r="D116" t="s">
        <v>1410</v>
      </c>
      <c r="E116">
        <f>languages!A40</f>
        <v>39</v>
      </c>
    </row>
    <row r="117" spans="1:5" x14ac:dyDescent="0.35">
      <c r="A117">
        <v>116</v>
      </c>
      <c r="B117" t="s">
        <v>1411</v>
      </c>
      <c r="C117" t="s">
        <v>1412</v>
      </c>
      <c r="D117" t="s">
        <v>1413</v>
      </c>
      <c r="E117">
        <f>languages!A40</f>
        <v>39</v>
      </c>
    </row>
    <row r="118" spans="1:5" x14ac:dyDescent="0.35">
      <c r="A118">
        <v>117</v>
      </c>
      <c r="B118" t="s">
        <v>1414</v>
      </c>
      <c r="C118" t="s">
        <v>1415</v>
      </c>
      <c r="D118" t="s">
        <v>1416</v>
      </c>
      <c r="E118">
        <f>languages!A40</f>
        <v>39</v>
      </c>
    </row>
    <row r="119" spans="1:5" x14ac:dyDescent="0.35">
      <c r="A119">
        <v>118</v>
      </c>
      <c r="B119" t="s">
        <v>1417</v>
      </c>
      <c r="C119" t="s">
        <v>1418</v>
      </c>
      <c r="D119" t="s">
        <v>1419</v>
      </c>
      <c r="E119">
        <f>languages!A40</f>
        <v>39</v>
      </c>
    </row>
    <row r="120" spans="1:5" x14ac:dyDescent="0.35">
      <c r="A120">
        <v>119</v>
      </c>
      <c r="B120" t="s">
        <v>1420</v>
      </c>
      <c r="C120" t="s">
        <v>1421</v>
      </c>
      <c r="D120" t="s">
        <v>1422</v>
      </c>
      <c r="E120">
        <f>languages!A40</f>
        <v>39</v>
      </c>
    </row>
    <row r="121" spans="1:5" x14ac:dyDescent="0.35">
      <c r="A121">
        <v>120</v>
      </c>
      <c r="B121" t="s">
        <v>1423</v>
      </c>
      <c r="C121" t="s">
        <v>1424</v>
      </c>
      <c r="D121" t="s">
        <v>1425</v>
      </c>
      <c r="E121">
        <f>languages!A40</f>
        <v>39</v>
      </c>
    </row>
    <row r="122" spans="1:5" x14ac:dyDescent="0.35">
      <c r="A122">
        <v>121</v>
      </c>
      <c r="B122" t="s">
        <v>1426</v>
      </c>
      <c r="C122" t="s">
        <v>1427</v>
      </c>
      <c r="D122" t="s">
        <v>1428</v>
      </c>
      <c r="E122">
        <f>languages!A40</f>
        <v>39</v>
      </c>
    </row>
    <row r="123" spans="1:5" x14ac:dyDescent="0.35">
      <c r="A123">
        <v>122</v>
      </c>
      <c r="B123" t="s">
        <v>1429</v>
      </c>
      <c r="C123" t="s">
        <v>1430</v>
      </c>
      <c r="D123" t="s">
        <v>1431</v>
      </c>
      <c r="E123">
        <f>languages!A40</f>
        <v>39</v>
      </c>
    </row>
    <row r="124" spans="1:5" x14ac:dyDescent="0.35">
      <c r="A124">
        <v>123</v>
      </c>
      <c r="B124" t="s">
        <v>1432</v>
      </c>
      <c r="C124" t="s">
        <v>1433</v>
      </c>
      <c r="D124" t="s">
        <v>1434</v>
      </c>
      <c r="E124">
        <f>languages!A40</f>
        <v>39</v>
      </c>
    </row>
    <row r="125" spans="1:5" x14ac:dyDescent="0.35">
      <c r="A125">
        <v>124</v>
      </c>
      <c r="B125" t="s">
        <v>1435</v>
      </c>
      <c r="C125" t="s">
        <v>1436</v>
      </c>
      <c r="D125" t="s">
        <v>1437</v>
      </c>
      <c r="E125">
        <f>languages!A40</f>
        <v>39</v>
      </c>
    </row>
    <row r="126" spans="1:5" x14ac:dyDescent="0.35">
      <c r="A126">
        <v>125</v>
      </c>
      <c r="B126" t="s">
        <v>1438</v>
      </c>
      <c r="C126" t="s">
        <v>1439</v>
      </c>
      <c r="D126" t="s">
        <v>1440</v>
      </c>
      <c r="E126">
        <f>languages!A40</f>
        <v>39</v>
      </c>
    </row>
    <row r="127" spans="1:5" x14ac:dyDescent="0.35">
      <c r="A127">
        <v>126</v>
      </c>
      <c r="B127" t="s">
        <v>1441</v>
      </c>
      <c r="C127" t="s">
        <v>1442</v>
      </c>
      <c r="D127" t="s">
        <v>1443</v>
      </c>
      <c r="E127">
        <f>languages!A40</f>
        <v>39</v>
      </c>
    </row>
    <row r="128" spans="1:5" x14ac:dyDescent="0.35">
      <c r="A128">
        <v>127</v>
      </c>
      <c r="B128" t="s">
        <v>1444</v>
      </c>
      <c r="C128" t="s">
        <v>1445</v>
      </c>
      <c r="D128" t="s">
        <v>1446</v>
      </c>
      <c r="E128">
        <f>languages!A40</f>
        <v>39</v>
      </c>
    </row>
    <row r="129" spans="1:5" x14ac:dyDescent="0.35">
      <c r="A129">
        <v>128</v>
      </c>
      <c r="B129" t="s">
        <v>1447</v>
      </c>
      <c r="C129" t="s">
        <v>1448</v>
      </c>
      <c r="D129" t="s">
        <v>1449</v>
      </c>
      <c r="E129">
        <f>languages!A40</f>
        <v>39</v>
      </c>
    </row>
    <row r="130" spans="1:5" x14ac:dyDescent="0.35">
      <c r="A130">
        <v>129</v>
      </c>
      <c r="B130" t="s">
        <v>1450</v>
      </c>
      <c r="C130" t="s">
        <v>1451</v>
      </c>
      <c r="D130" t="s">
        <v>1452</v>
      </c>
      <c r="E130">
        <f>languages!A40</f>
        <v>39</v>
      </c>
    </row>
    <row r="131" spans="1:5" x14ac:dyDescent="0.35">
      <c r="A131">
        <v>130</v>
      </c>
      <c r="B131" t="s">
        <v>1453</v>
      </c>
      <c r="C131" t="s">
        <v>1454</v>
      </c>
      <c r="D131" t="s">
        <v>1455</v>
      </c>
      <c r="E131">
        <f>languages!A40</f>
        <v>39</v>
      </c>
    </row>
    <row r="132" spans="1:5" x14ac:dyDescent="0.35">
      <c r="A132">
        <v>131</v>
      </c>
      <c r="B132" t="s">
        <v>1456</v>
      </c>
      <c r="C132" t="s">
        <v>1457</v>
      </c>
      <c r="D132" t="s">
        <v>1458</v>
      </c>
      <c r="E132">
        <f>languages!A40</f>
        <v>39</v>
      </c>
    </row>
    <row r="133" spans="1:5" x14ac:dyDescent="0.35">
      <c r="A133">
        <v>132</v>
      </c>
      <c r="B133" t="s">
        <v>1459</v>
      </c>
      <c r="C133" t="s">
        <v>1460</v>
      </c>
      <c r="D133" t="s">
        <v>1461</v>
      </c>
      <c r="E133">
        <f>languages!A40</f>
        <v>39</v>
      </c>
    </row>
    <row r="134" spans="1:5" x14ac:dyDescent="0.35">
      <c r="A134">
        <v>133</v>
      </c>
      <c r="B134" t="s">
        <v>1462</v>
      </c>
      <c r="C134" t="s">
        <v>1463</v>
      </c>
      <c r="D134" t="s">
        <v>1464</v>
      </c>
      <c r="E134">
        <f>languages!A40</f>
        <v>39</v>
      </c>
    </row>
    <row r="135" spans="1:5" x14ac:dyDescent="0.35">
      <c r="A135">
        <v>134</v>
      </c>
      <c r="B135" t="s">
        <v>1465</v>
      </c>
      <c r="C135" t="s">
        <v>1466</v>
      </c>
      <c r="D135" t="s">
        <v>1467</v>
      </c>
      <c r="E135">
        <f>languages!A40</f>
        <v>39</v>
      </c>
    </row>
    <row r="136" spans="1:5" x14ac:dyDescent="0.35">
      <c r="A136">
        <v>135</v>
      </c>
      <c r="B136" t="s">
        <v>1468</v>
      </c>
      <c r="C136" t="s">
        <v>1469</v>
      </c>
      <c r="D136" t="s">
        <v>1470</v>
      </c>
      <c r="E136">
        <f>languages!A40</f>
        <v>39</v>
      </c>
    </row>
    <row r="137" spans="1:5" x14ac:dyDescent="0.35">
      <c r="A137">
        <v>136</v>
      </c>
      <c r="B137" t="s">
        <v>513</v>
      </c>
      <c r="C137" t="s">
        <v>515</v>
      </c>
      <c r="D137" t="s">
        <v>516</v>
      </c>
      <c r="E137">
        <f>languages!A41</f>
        <v>40</v>
      </c>
    </row>
    <row r="138" spans="1:5" x14ac:dyDescent="0.35">
      <c r="A138">
        <v>137</v>
      </c>
      <c r="B138" t="s">
        <v>1471</v>
      </c>
      <c r="C138" t="s">
        <v>1472</v>
      </c>
      <c r="D138" t="s">
        <v>1473</v>
      </c>
      <c r="E138">
        <f>languages!A41</f>
        <v>40</v>
      </c>
    </row>
    <row r="139" spans="1:5" x14ac:dyDescent="0.35">
      <c r="A139">
        <v>138</v>
      </c>
      <c r="B139" t="s">
        <v>518</v>
      </c>
      <c r="C139" t="s">
        <v>520</v>
      </c>
      <c r="D139" t="s">
        <v>521</v>
      </c>
      <c r="E139">
        <f>languages!A42</f>
        <v>41</v>
      </c>
    </row>
    <row r="140" spans="1:5" x14ac:dyDescent="0.35">
      <c r="A140">
        <v>139</v>
      </c>
      <c r="B140" t="s">
        <v>1474</v>
      </c>
      <c r="C140" t="s">
        <v>1475</v>
      </c>
      <c r="D140" t="s">
        <v>1476</v>
      </c>
      <c r="E140">
        <f>languages!A42</f>
        <v>41</v>
      </c>
    </row>
    <row r="141" spans="1:5" x14ac:dyDescent="0.35">
      <c r="A141">
        <v>140</v>
      </c>
      <c r="B141" t="s">
        <v>523</v>
      </c>
      <c r="C141" t="s">
        <v>525</v>
      </c>
      <c r="D141" t="s">
        <v>526</v>
      </c>
      <c r="E141">
        <f>languages!A43</f>
        <v>42</v>
      </c>
    </row>
    <row r="142" spans="1:5" x14ac:dyDescent="0.35">
      <c r="A142">
        <v>141</v>
      </c>
      <c r="B142" t="s">
        <v>1477</v>
      </c>
      <c r="C142" t="s">
        <v>1478</v>
      </c>
      <c r="D142" t="s">
        <v>1479</v>
      </c>
      <c r="E142">
        <f>languages!A43</f>
        <v>42</v>
      </c>
    </row>
    <row r="143" spans="1:5" x14ac:dyDescent="0.35">
      <c r="A143">
        <v>142</v>
      </c>
      <c r="B143" t="s">
        <v>1480</v>
      </c>
      <c r="C143" t="s">
        <v>1481</v>
      </c>
      <c r="D143" t="s">
        <v>1482</v>
      </c>
      <c r="E143">
        <f>languages!A43</f>
        <v>42</v>
      </c>
    </row>
    <row r="144" spans="1:5" x14ac:dyDescent="0.35">
      <c r="A144">
        <v>143</v>
      </c>
      <c r="B144" t="s">
        <v>528</v>
      </c>
      <c r="C144" t="s">
        <v>530</v>
      </c>
      <c r="D144" t="s">
        <v>531</v>
      </c>
      <c r="E144">
        <f>languages!A44</f>
        <v>43</v>
      </c>
    </row>
    <row r="145" spans="1:5" x14ac:dyDescent="0.35">
      <c r="A145">
        <v>144</v>
      </c>
      <c r="B145" t="s">
        <v>1483</v>
      </c>
      <c r="C145" t="s">
        <v>1484</v>
      </c>
      <c r="D145" t="s">
        <v>1485</v>
      </c>
      <c r="E145">
        <f>languages!A44</f>
        <v>43</v>
      </c>
    </row>
    <row r="146" spans="1:5" x14ac:dyDescent="0.35">
      <c r="A146">
        <v>145</v>
      </c>
      <c r="B146" t="s">
        <v>533</v>
      </c>
      <c r="C146" t="s">
        <v>535</v>
      </c>
      <c r="D146" t="s">
        <v>536</v>
      </c>
      <c r="E146">
        <f>languages!A45</f>
        <v>44</v>
      </c>
    </row>
    <row r="147" spans="1:5" x14ac:dyDescent="0.35">
      <c r="A147">
        <v>146</v>
      </c>
      <c r="B147" t="s">
        <v>1486</v>
      </c>
      <c r="C147" t="s">
        <v>1487</v>
      </c>
      <c r="D147" t="s">
        <v>1488</v>
      </c>
      <c r="E147">
        <f>languages!A45</f>
        <v>44</v>
      </c>
    </row>
    <row r="148" spans="1:5" x14ac:dyDescent="0.35">
      <c r="A148">
        <v>147</v>
      </c>
      <c r="B148" t="s">
        <v>538</v>
      </c>
      <c r="C148" t="s">
        <v>540</v>
      </c>
      <c r="D148" t="s">
        <v>541</v>
      </c>
      <c r="E148">
        <f>languages!A46</f>
        <v>45</v>
      </c>
    </row>
    <row r="149" spans="1:5" x14ac:dyDescent="0.35">
      <c r="A149">
        <v>148</v>
      </c>
      <c r="B149" t="s">
        <v>543</v>
      </c>
      <c r="C149" t="s">
        <v>545</v>
      </c>
      <c r="D149" t="s">
        <v>546</v>
      </c>
      <c r="E149">
        <f>languages!A47</f>
        <v>46</v>
      </c>
    </row>
    <row r="150" spans="1:5" x14ac:dyDescent="0.35">
      <c r="A150">
        <v>149</v>
      </c>
      <c r="B150" t="s">
        <v>1489</v>
      </c>
      <c r="C150" t="s">
        <v>1490</v>
      </c>
      <c r="D150" t="s">
        <v>1491</v>
      </c>
      <c r="E150">
        <f>languages!A47</f>
        <v>46</v>
      </c>
    </row>
    <row r="151" spans="1:5" x14ac:dyDescent="0.35">
      <c r="A151">
        <v>150</v>
      </c>
      <c r="B151" t="s">
        <v>548</v>
      </c>
      <c r="C151" t="s">
        <v>550</v>
      </c>
      <c r="D151" t="s">
        <v>551</v>
      </c>
      <c r="E151">
        <f>languages!A48</f>
        <v>47</v>
      </c>
    </row>
    <row r="152" spans="1:5" x14ac:dyDescent="0.35">
      <c r="A152">
        <v>151</v>
      </c>
      <c r="B152" t="s">
        <v>1492</v>
      </c>
      <c r="C152" t="s">
        <v>1493</v>
      </c>
      <c r="D152" t="s">
        <v>1494</v>
      </c>
      <c r="E152">
        <f>languages!A48</f>
        <v>47</v>
      </c>
    </row>
    <row r="153" spans="1:5" x14ac:dyDescent="0.35">
      <c r="A153">
        <v>152</v>
      </c>
      <c r="B153" t="s">
        <v>1495</v>
      </c>
      <c r="C153" t="s">
        <v>1496</v>
      </c>
      <c r="D153" t="s">
        <v>1497</v>
      </c>
      <c r="E153">
        <f>languages!A48</f>
        <v>47</v>
      </c>
    </row>
    <row r="154" spans="1:5" x14ac:dyDescent="0.35">
      <c r="A154">
        <v>153</v>
      </c>
      <c r="B154" t="s">
        <v>1498</v>
      </c>
      <c r="C154" t="s">
        <v>1499</v>
      </c>
      <c r="D154" t="s">
        <v>1500</v>
      </c>
      <c r="E154">
        <f>languages!A48</f>
        <v>47</v>
      </c>
    </row>
    <row r="155" spans="1:5" x14ac:dyDescent="0.35">
      <c r="A155">
        <v>154</v>
      </c>
      <c r="B155" t="s">
        <v>1501</v>
      </c>
      <c r="C155" t="s">
        <v>1502</v>
      </c>
      <c r="D155" t="s">
        <v>1503</v>
      </c>
      <c r="E155">
        <f>languages!A48</f>
        <v>47</v>
      </c>
    </row>
    <row r="156" spans="1:5" x14ac:dyDescent="0.35">
      <c r="A156">
        <v>155</v>
      </c>
      <c r="B156" t="s">
        <v>1504</v>
      </c>
      <c r="C156" t="s">
        <v>1505</v>
      </c>
      <c r="D156" t="s">
        <v>1506</v>
      </c>
      <c r="E156">
        <f>languages!A48</f>
        <v>47</v>
      </c>
    </row>
    <row r="157" spans="1:5" x14ac:dyDescent="0.35">
      <c r="A157">
        <v>156</v>
      </c>
      <c r="B157" t="s">
        <v>1507</v>
      </c>
      <c r="C157" t="s">
        <v>1508</v>
      </c>
      <c r="D157" t="s">
        <v>1509</v>
      </c>
      <c r="E157">
        <f>languages!A48</f>
        <v>47</v>
      </c>
    </row>
    <row r="158" spans="1:5" x14ac:dyDescent="0.35">
      <c r="A158">
        <v>157</v>
      </c>
      <c r="B158" t="s">
        <v>1510</v>
      </c>
      <c r="C158" t="s">
        <v>1511</v>
      </c>
      <c r="D158" t="s">
        <v>1512</v>
      </c>
      <c r="E158">
        <f>languages!A48</f>
        <v>47</v>
      </c>
    </row>
    <row r="159" spans="1:5" x14ac:dyDescent="0.35">
      <c r="A159">
        <v>158</v>
      </c>
      <c r="B159" t="s">
        <v>1513</v>
      </c>
      <c r="C159" t="s">
        <v>1514</v>
      </c>
      <c r="D159" t="s">
        <v>1515</v>
      </c>
      <c r="E159">
        <f>languages!A48</f>
        <v>47</v>
      </c>
    </row>
    <row r="160" spans="1:5" x14ac:dyDescent="0.35">
      <c r="A160">
        <v>159</v>
      </c>
      <c r="B160" t="s">
        <v>1516</v>
      </c>
      <c r="C160" t="s">
        <v>1517</v>
      </c>
      <c r="D160" t="s">
        <v>1518</v>
      </c>
      <c r="E160">
        <f>languages!A48</f>
        <v>47</v>
      </c>
    </row>
    <row r="161" spans="1:5" x14ac:dyDescent="0.35">
      <c r="A161">
        <v>160</v>
      </c>
      <c r="B161" t="s">
        <v>1519</v>
      </c>
      <c r="C161" t="s">
        <v>1520</v>
      </c>
      <c r="D161" t="s">
        <v>1521</v>
      </c>
      <c r="E161">
        <f>languages!A48</f>
        <v>47</v>
      </c>
    </row>
    <row r="162" spans="1:5" x14ac:dyDescent="0.35">
      <c r="A162">
        <v>161</v>
      </c>
      <c r="B162" t="s">
        <v>1522</v>
      </c>
      <c r="C162" t="s">
        <v>1523</v>
      </c>
      <c r="D162" t="s">
        <v>1524</v>
      </c>
      <c r="E162">
        <f>languages!A48</f>
        <v>47</v>
      </c>
    </row>
    <row r="163" spans="1:5" x14ac:dyDescent="0.35">
      <c r="A163">
        <v>162</v>
      </c>
      <c r="B163" t="s">
        <v>1525</v>
      </c>
      <c r="C163" t="s">
        <v>1526</v>
      </c>
      <c r="D163" t="s">
        <v>1527</v>
      </c>
      <c r="E163">
        <f>languages!A48</f>
        <v>47</v>
      </c>
    </row>
    <row r="164" spans="1:5" x14ac:dyDescent="0.35">
      <c r="A164">
        <v>163</v>
      </c>
      <c r="B164" t="s">
        <v>1528</v>
      </c>
      <c r="C164" t="s">
        <v>1529</v>
      </c>
      <c r="D164" t="s">
        <v>1530</v>
      </c>
      <c r="E164">
        <f>languages!A48</f>
        <v>47</v>
      </c>
    </row>
    <row r="165" spans="1:5" x14ac:dyDescent="0.35">
      <c r="A165">
        <v>164</v>
      </c>
      <c r="B165" t="s">
        <v>1531</v>
      </c>
      <c r="C165" t="s">
        <v>1532</v>
      </c>
      <c r="D165" t="s">
        <v>1533</v>
      </c>
      <c r="E165">
        <f>languages!A48</f>
        <v>47</v>
      </c>
    </row>
    <row r="166" spans="1:5" x14ac:dyDescent="0.35">
      <c r="A166">
        <v>165</v>
      </c>
      <c r="B166" t="s">
        <v>1534</v>
      </c>
      <c r="C166" t="s">
        <v>1535</v>
      </c>
      <c r="D166" t="s">
        <v>1536</v>
      </c>
      <c r="E166">
        <f>languages!A48</f>
        <v>47</v>
      </c>
    </row>
    <row r="167" spans="1:5" x14ac:dyDescent="0.35">
      <c r="A167">
        <v>166</v>
      </c>
      <c r="B167" t="s">
        <v>1537</v>
      </c>
      <c r="C167" t="s">
        <v>1538</v>
      </c>
      <c r="D167" t="s">
        <v>1539</v>
      </c>
      <c r="E167">
        <f>languages!A48</f>
        <v>47</v>
      </c>
    </row>
    <row r="168" spans="1:5" x14ac:dyDescent="0.35">
      <c r="A168">
        <v>167</v>
      </c>
      <c r="B168" t="s">
        <v>1540</v>
      </c>
      <c r="C168" t="s">
        <v>1541</v>
      </c>
      <c r="D168" t="s">
        <v>1542</v>
      </c>
      <c r="E168">
        <f>languages!A48</f>
        <v>47</v>
      </c>
    </row>
    <row r="169" spans="1:5" x14ac:dyDescent="0.35">
      <c r="A169">
        <v>168</v>
      </c>
      <c r="B169" t="s">
        <v>1543</v>
      </c>
      <c r="C169" t="s">
        <v>1544</v>
      </c>
      <c r="D169" t="s">
        <v>1545</v>
      </c>
      <c r="E169">
        <f>languages!A48</f>
        <v>47</v>
      </c>
    </row>
    <row r="170" spans="1:5" x14ac:dyDescent="0.35">
      <c r="A170">
        <v>169</v>
      </c>
      <c r="B170" t="s">
        <v>1546</v>
      </c>
      <c r="C170" t="s">
        <v>1547</v>
      </c>
      <c r="D170" t="s">
        <v>1548</v>
      </c>
      <c r="E170">
        <f>languages!A48</f>
        <v>47</v>
      </c>
    </row>
    <row r="171" spans="1:5" x14ac:dyDescent="0.35">
      <c r="A171">
        <v>170</v>
      </c>
      <c r="B171" t="s">
        <v>1549</v>
      </c>
      <c r="C171" t="s">
        <v>1550</v>
      </c>
      <c r="D171" t="s">
        <v>1551</v>
      </c>
      <c r="E171">
        <f>languages!A48</f>
        <v>47</v>
      </c>
    </row>
    <row r="172" spans="1:5" x14ac:dyDescent="0.35">
      <c r="A172">
        <v>171</v>
      </c>
      <c r="B172" t="s">
        <v>1552</v>
      </c>
      <c r="C172" t="s">
        <v>1553</v>
      </c>
      <c r="D172" t="s">
        <v>1554</v>
      </c>
      <c r="E172">
        <f>languages!A48</f>
        <v>47</v>
      </c>
    </row>
    <row r="173" spans="1:5" x14ac:dyDescent="0.35">
      <c r="A173">
        <v>172</v>
      </c>
      <c r="B173" t="s">
        <v>1555</v>
      </c>
      <c r="C173" t="s">
        <v>1556</v>
      </c>
      <c r="D173" t="s">
        <v>1557</v>
      </c>
      <c r="E173">
        <f>languages!A48</f>
        <v>47</v>
      </c>
    </row>
    <row r="174" spans="1:5" x14ac:dyDescent="0.35">
      <c r="A174">
        <v>173</v>
      </c>
      <c r="B174" t="s">
        <v>1558</v>
      </c>
      <c r="C174" t="s">
        <v>1559</v>
      </c>
      <c r="D174" t="s">
        <v>1560</v>
      </c>
      <c r="E174">
        <f>languages!A48</f>
        <v>47</v>
      </c>
    </row>
    <row r="175" spans="1:5" x14ac:dyDescent="0.35">
      <c r="A175">
        <v>174</v>
      </c>
      <c r="B175" t="s">
        <v>1561</v>
      </c>
      <c r="C175" t="s">
        <v>1562</v>
      </c>
      <c r="D175" t="s">
        <v>1563</v>
      </c>
      <c r="E175">
        <f>languages!A48</f>
        <v>47</v>
      </c>
    </row>
    <row r="176" spans="1:5" x14ac:dyDescent="0.35">
      <c r="A176">
        <v>175</v>
      </c>
      <c r="B176" t="s">
        <v>1564</v>
      </c>
      <c r="C176" t="s">
        <v>1565</v>
      </c>
      <c r="D176" t="s">
        <v>1566</v>
      </c>
      <c r="E176">
        <f>languages!A48</f>
        <v>47</v>
      </c>
    </row>
    <row r="177" spans="1:5" x14ac:dyDescent="0.35">
      <c r="A177">
        <v>176</v>
      </c>
      <c r="B177" t="s">
        <v>1567</v>
      </c>
      <c r="C177" t="s">
        <v>1568</v>
      </c>
      <c r="D177" t="s">
        <v>1569</v>
      </c>
      <c r="E177">
        <f>languages!A48</f>
        <v>47</v>
      </c>
    </row>
    <row r="178" spans="1:5" x14ac:dyDescent="0.35">
      <c r="A178">
        <v>177</v>
      </c>
      <c r="B178" t="s">
        <v>1570</v>
      </c>
      <c r="C178" t="s">
        <v>1571</v>
      </c>
      <c r="D178" t="s">
        <v>1572</v>
      </c>
      <c r="E178">
        <f>languages!A48</f>
        <v>47</v>
      </c>
    </row>
    <row r="179" spans="1:5" x14ac:dyDescent="0.35">
      <c r="A179">
        <v>178</v>
      </c>
      <c r="B179" t="s">
        <v>1573</v>
      </c>
      <c r="C179" t="s">
        <v>1574</v>
      </c>
      <c r="D179" t="s">
        <v>1575</v>
      </c>
      <c r="E179">
        <f>languages!A48</f>
        <v>47</v>
      </c>
    </row>
    <row r="180" spans="1:5" x14ac:dyDescent="0.35">
      <c r="A180">
        <v>179</v>
      </c>
      <c r="B180" t="s">
        <v>1576</v>
      </c>
      <c r="C180" t="s">
        <v>1577</v>
      </c>
      <c r="D180" t="s">
        <v>1578</v>
      </c>
      <c r="E180">
        <f>languages!A48</f>
        <v>47</v>
      </c>
    </row>
    <row r="181" spans="1:5" x14ac:dyDescent="0.35">
      <c r="A181">
        <v>180</v>
      </c>
      <c r="B181" t="s">
        <v>1579</v>
      </c>
      <c r="C181" t="s">
        <v>1580</v>
      </c>
      <c r="D181" t="s">
        <v>1581</v>
      </c>
      <c r="E181">
        <f>languages!A48</f>
        <v>47</v>
      </c>
    </row>
    <row r="182" spans="1:5" x14ac:dyDescent="0.35">
      <c r="A182">
        <v>181</v>
      </c>
      <c r="B182" t="s">
        <v>1582</v>
      </c>
      <c r="C182" t="s">
        <v>1583</v>
      </c>
      <c r="D182" t="s">
        <v>1584</v>
      </c>
      <c r="E182">
        <f>languages!A48</f>
        <v>47</v>
      </c>
    </row>
    <row r="183" spans="1:5" x14ac:dyDescent="0.35">
      <c r="A183">
        <v>182</v>
      </c>
      <c r="B183" t="s">
        <v>1585</v>
      </c>
      <c r="C183" t="s">
        <v>1586</v>
      </c>
      <c r="D183" t="s">
        <v>1587</v>
      </c>
      <c r="E183">
        <f>languages!A48</f>
        <v>47</v>
      </c>
    </row>
    <row r="184" spans="1:5" x14ac:dyDescent="0.35">
      <c r="A184">
        <v>183</v>
      </c>
      <c r="B184" t="s">
        <v>1588</v>
      </c>
      <c r="C184" t="s">
        <v>1589</v>
      </c>
      <c r="D184" t="s">
        <v>1590</v>
      </c>
      <c r="E184">
        <f>languages!A48</f>
        <v>47</v>
      </c>
    </row>
    <row r="185" spans="1:5" x14ac:dyDescent="0.35">
      <c r="A185">
        <v>184</v>
      </c>
      <c r="B185" t="s">
        <v>553</v>
      </c>
      <c r="C185" t="s">
        <v>555</v>
      </c>
      <c r="D185" t="s">
        <v>556</v>
      </c>
      <c r="E185">
        <f>languages!A49</f>
        <v>48</v>
      </c>
    </row>
    <row r="186" spans="1:5" x14ac:dyDescent="0.35">
      <c r="A186">
        <v>185</v>
      </c>
      <c r="B186" t="s">
        <v>558</v>
      </c>
      <c r="C186" t="s">
        <v>560</v>
      </c>
      <c r="D186" t="s">
        <v>561</v>
      </c>
      <c r="E186">
        <f>languages!A50</f>
        <v>49</v>
      </c>
    </row>
    <row r="187" spans="1:5" x14ac:dyDescent="0.35">
      <c r="A187">
        <v>186</v>
      </c>
      <c r="B187" t="s">
        <v>1591</v>
      </c>
      <c r="C187" t="s">
        <v>1592</v>
      </c>
      <c r="D187" t="s">
        <v>1593</v>
      </c>
      <c r="E187">
        <f>languages!A50</f>
        <v>49</v>
      </c>
    </row>
    <row r="188" spans="1:5" x14ac:dyDescent="0.35">
      <c r="A188">
        <v>187</v>
      </c>
      <c r="B188" t="s">
        <v>563</v>
      </c>
      <c r="C188" t="s">
        <v>565</v>
      </c>
      <c r="D188" t="s">
        <v>566</v>
      </c>
      <c r="E188">
        <f>languages!A51</f>
        <v>50</v>
      </c>
    </row>
    <row r="189" spans="1:5" x14ac:dyDescent="0.35">
      <c r="A189">
        <v>188</v>
      </c>
      <c r="B189" t="s">
        <v>568</v>
      </c>
      <c r="C189" t="s">
        <v>570</v>
      </c>
      <c r="D189" t="s">
        <v>571</v>
      </c>
      <c r="E189">
        <f>languages!A52</f>
        <v>51</v>
      </c>
    </row>
    <row r="190" spans="1:5" x14ac:dyDescent="0.35">
      <c r="A190">
        <v>189</v>
      </c>
      <c r="B190" t="s">
        <v>1594</v>
      </c>
      <c r="C190" t="s">
        <v>1595</v>
      </c>
      <c r="D190" t="s">
        <v>1596</v>
      </c>
      <c r="E190">
        <f>languages!A52</f>
        <v>51</v>
      </c>
    </row>
    <row r="191" spans="1:5" x14ac:dyDescent="0.35">
      <c r="A191">
        <v>190</v>
      </c>
      <c r="B191" t="s">
        <v>573</v>
      </c>
      <c r="C191" t="s">
        <v>575</v>
      </c>
      <c r="D191" t="s">
        <v>576</v>
      </c>
      <c r="E191">
        <f>languages!A53</f>
        <v>52</v>
      </c>
    </row>
    <row r="192" spans="1:5" x14ac:dyDescent="0.35">
      <c r="A192">
        <v>191</v>
      </c>
      <c r="B192" t="s">
        <v>578</v>
      </c>
      <c r="C192" t="s">
        <v>272</v>
      </c>
      <c r="D192" t="s">
        <v>580</v>
      </c>
      <c r="E192">
        <f>languages!A54</f>
        <v>53</v>
      </c>
    </row>
    <row r="193" spans="1:5" x14ac:dyDescent="0.35">
      <c r="A193">
        <v>192</v>
      </c>
      <c r="B193" t="s">
        <v>1597</v>
      </c>
      <c r="C193" t="s">
        <v>1598</v>
      </c>
      <c r="D193" t="s">
        <v>1599</v>
      </c>
      <c r="E193">
        <f>languages!A54</f>
        <v>53</v>
      </c>
    </row>
    <row r="194" spans="1:5" x14ac:dyDescent="0.35">
      <c r="A194">
        <v>193</v>
      </c>
      <c r="B194" t="s">
        <v>582</v>
      </c>
      <c r="C194" t="s">
        <v>584</v>
      </c>
      <c r="D194" t="s">
        <v>585</v>
      </c>
      <c r="E194">
        <f>languages!A55</f>
        <v>54</v>
      </c>
    </row>
    <row r="195" spans="1:5" x14ac:dyDescent="0.35">
      <c r="A195">
        <v>194</v>
      </c>
      <c r="B195" t="s">
        <v>1600</v>
      </c>
      <c r="C195" t="s">
        <v>1601</v>
      </c>
      <c r="D195" t="s">
        <v>1602</v>
      </c>
      <c r="E195">
        <f>languages!A55</f>
        <v>54</v>
      </c>
    </row>
    <row r="196" spans="1:5" x14ac:dyDescent="0.35">
      <c r="A196">
        <v>195</v>
      </c>
      <c r="B196" t="s">
        <v>587</v>
      </c>
      <c r="C196" t="s">
        <v>589</v>
      </c>
      <c r="D196" t="s">
        <v>589</v>
      </c>
      <c r="E196">
        <f>languages!A56</f>
        <v>55</v>
      </c>
    </row>
    <row r="197" spans="1:5" x14ac:dyDescent="0.35">
      <c r="A197">
        <v>196</v>
      </c>
      <c r="B197" t="s">
        <v>591</v>
      </c>
      <c r="C197" t="s">
        <v>274</v>
      </c>
      <c r="D197" t="s">
        <v>593</v>
      </c>
      <c r="E197">
        <f>languages!A57</f>
        <v>56</v>
      </c>
    </row>
    <row r="198" spans="1:5" x14ac:dyDescent="0.35">
      <c r="A198">
        <v>197</v>
      </c>
      <c r="B198" t="s">
        <v>1603</v>
      </c>
      <c r="C198" t="s">
        <v>1604</v>
      </c>
      <c r="D198" t="s">
        <v>1605</v>
      </c>
      <c r="E198">
        <f>languages!A57</f>
        <v>56</v>
      </c>
    </row>
    <row r="199" spans="1:5" x14ac:dyDescent="0.35">
      <c r="A199">
        <v>198</v>
      </c>
      <c r="B199" t="s">
        <v>595</v>
      </c>
      <c r="C199" t="s">
        <v>597</v>
      </c>
      <c r="D199" t="s">
        <v>598</v>
      </c>
      <c r="E199">
        <f>languages!A58</f>
        <v>57</v>
      </c>
    </row>
    <row r="200" spans="1:5" x14ac:dyDescent="0.35">
      <c r="A200">
        <v>199</v>
      </c>
      <c r="B200" t="s">
        <v>1606</v>
      </c>
      <c r="C200" t="s">
        <v>1607</v>
      </c>
      <c r="D200" t="s">
        <v>1608</v>
      </c>
      <c r="E200">
        <f>languages!A58</f>
        <v>57</v>
      </c>
    </row>
    <row r="201" spans="1:5" x14ac:dyDescent="0.35">
      <c r="A201">
        <v>200</v>
      </c>
      <c r="B201" t="s">
        <v>600</v>
      </c>
      <c r="C201" t="s">
        <v>602</v>
      </c>
      <c r="D201" t="s">
        <v>602</v>
      </c>
      <c r="E201">
        <f>languages!A59</f>
        <v>58</v>
      </c>
    </row>
    <row r="202" spans="1:5" x14ac:dyDescent="0.35">
      <c r="A202">
        <v>201</v>
      </c>
      <c r="B202" t="s">
        <v>604</v>
      </c>
      <c r="C202" t="s">
        <v>606</v>
      </c>
      <c r="D202" t="s">
        <v>607</v>
      </c>
      <c r="E202">
        <f>languages!A60</f>
        <v>59</v>
      </c>
    </row>
    <row r="203" spans="1:5" x14ac:dyDescent="0.35">
      <c r="A203">
        <v>202</v>
      </c>
      <c r="B203" t="s">
        <v>1609</v>
      </c>
      <c r="C203" t="s">
        <v>1610</v>
      </c>
      <c r="D203" t="s">
        <v>1611</v>
      </c>
      <c r="E203">
        <f>languages!A60</f>
        <v>59</v>
      </c>
    </row>
    <row r="204" spans="1:5" x14ac:dyDescent="0.35">
      <c r="A204">
        <v>203</v>
      </c>
      <c r="B204" t="s">
        <v>609</v>
      </c>
      <c r="C204" t="s">
        <v>1612</v>
      </c>
      <c r="D204" t="s">
        <v>612</v>
      </c>
      <c r="E204">
        <f>languages!A61</f>
        <v>60</v>
      </c>
    </row>
    <row r="205" spans="1:5" x14ac:dyDescent="0.35">
      <c r="A205">
        <v>204</v>
      </c>
      <c r="B205" t="s">
        <v>614</v>
      </c>
      <c r="C205" t="s">
        <v>616</v>
      </c>
      <c r="D205" t="s">
        <v>617</v>
      </c>
      <c r="E205">
        <f>languages!A62</f>
        <v>61</v>
      </c>
    </row>
    <row r="206" spans="1:5" x14ac:dyDescent="0.35">
      <c r="A206">
        <v>205</v>
      </c>
      <c r="B206" t="s">
        <v>1613</v>
      </c>
      <c r="C206" t="s">
        <v>1614</v>
      </c>
      <c r="D206" t="s">
        <v>1615</v>
      </c>
      <c r="E206">
        <f>languages!A62</f>
        <v>61</v>
      </c>
    </row>
    <row r="207" spans="1:5" x14ac:dyDescent="0.35">
      <c r="A207">
        <v>206</v>
      </c>
      <c r="B207" t="s">
        <v>619</v>
      </c>
      <c r="C207" t="s">
        <v>278</v>
      </c>
      <c r="D207" t="s">
        <v>621</v>
      </c>
      <c r="E207">
        <f>languages!A63</f>
        <v>62</v>
      </c>
    </row>
    <row r="208" spans="1:5" x14ac:dyDescent="0.35">
      <c r="A208">
        <v>207</v>
      </c>
      <c r="B208" t="s">
        <v>1616</v>
      </c>
      <c r="C208" t="s">
        <v>1617</v>
      </c>
      <c r="D208" t="s">
        <v>1618</v>
      </c>
      <c r="E208">
        <f>languages!A63</f>
        <v>62</v>
      </c>
    </row>
    <row r="209" spans="1:5" x14ac:dyDescent="0.35">
      <c r="A209">
        <v>208</v>
      </c>
      <c r="B209" t="s">
        <v>623</v>
      </c>
      <c r="C209" t="s">
        <v>625</v>
      </c>
      <c r="D209" t="s">
        <v>626</v>
      </c>
      <c r="E209">
        <f>languages!A64</f>
        <v>63</v>
      </c>
    </row>
    <row r="210" spans="1:5" x14ac:dyDescent="0.35">
      <c r="A210">
        <v>209</v>
      </c>
      <c r="B210" t="s">
        <v>628</v>
      </c>
      <c r="C210" t="s">
        <v>630</v>
      </c>
      <c r="D210" t="s">
        <v>630</v>
      </c>
      <c r="E210">
        <f>languages!A65</f>
        <v>64</v>
      </c>
    </row>
    <row r="211" spans="1:5" x14ac:dyDescent="0.35">
      <c r="A211">
        <v>210</v>
      </c>
      <c r="B211" t="s">
        <v>0</v>
      </c>
      <c r="C211" t="s">
        <v>633</v>
      </c>
      <c r="D211" t="s">
        <v>634</v>
      </c>
      <c r="E211">
        <f>languages!A66</f>
        <v>65</v>
      </c>
    </row>
    <row r="212" spans="1:5" x14ac:dyDescent="0.35">
      <c r="A212">
        <v>211</v>
      </c>
      <c r="B212" t="s">
        <v>1619</v>
      </c>
      <c r="C212" t="s">
        <v>1620</v>
      </c>
      <c r="D212" t="s">
        <v>1621</v>
      </c>
      <c r="E212">
        <f>languages!A66</f>
        <v>65</v>
      </c>
    </row>
    <row r="213" spans="1:5" x14ac:dyDescent="0.35">
      <c r="A213">
        <v>212</v>
      </c>
      <c r="B213" t="s">
        <v>636</v>
      </c>
      <c r="C213" t="s">
        <v>638</v>
      </c>
      <c r="D213" t="s">
        <v>638</v>
      </c>
      <c r="E213">
        <f>languages!A67</f>
        <v>66</v>
      </c>
    </row>
    <row r="214" spans="1:5" x14ac:dyDescent="0.35">
      <c r="A214">
        <v>213</v>
      </c>
      <c r="B214" t="s">
        <v>640</v>
      </c>
      <c r="C214" t="s">
        <v>642</v>
      </c>
      <c r="D214" t="s">
        <v>642</v>
      </c>
      <c r="E214">
        <f>languages!A68</f>
        <v>67</v>
      </c>
    </row>
    <row r="215" spans="1:5" x14ac:dyDescent="0.35">
      <c r="A215">
        <v>214</v>
      </c>
      <c r="B215" t="s">
        <v>1622</v>
      </c>
      <c r="C215" t="s">
        <v>1623</v>
      </c>
      <c r="D215" t="s">
        <v>1623</v>
      </c>
      <c r="E215">
        <f>languages!A68</f>
        <v>67</v>
      </c>
    </row>
    <row r="216" spans="1:5" x14ac:dyDescent="0.35">
      <c r="A216">
        <v>215</v>
      </c>
      <c r="B216" t="s">
        <v>644</v>
      </c>
      <c r="C216" t="s">
        <v>1624</v>
      </c>
      <c r="D216" t="s">
        <v>647</v>
      </c>
      <c r="E216">
        <f>languages!A69</f>
        <v>68</v>
      </c>
    </row>
    <row r="217" spans="1:5" x14ac:dyDescent="0.35">
      <c r="A217">
        <v>216</v>
      </c>
      <c r="B217" t="s">
        <v>1625</v>
      </c>
      <c r="C217" t="s">
        <v>1626</v>
      </c>
      <c r="D217" t="s">
        <v>1627</v>
      </c>
      <c r="E217">
        <f>languages!A69</f>
        <v>68</v>
      </c>
    </row>
    <row r="218" spans="1:5" x14ac:dyDescent="0.35">
      <c r="A218">
        <v>217</v>
      </c>
      <c r="B218" t="s">
        <v>649</v>
      </c>
      <c r="C218" t="s">
        <v>651</v>
      </c>
      <c r="D218" t="s">
        <v>652</v>
      </c>
      <c r="E218">
        <f>languages!A70</f>
        <v>69</v>
      </c>
    </row>
    <row r="219" spans="1:5" x14ac:dyDescent="0.35">
      <c r="A219">
        <v>218</v>
      </c>
      <c r="B219" t="s">
        <v>654</v>
      </c>
      <c r="C219" t="s">
        <v>656</v>
      </c>
      <c r="D219" t="s">
        <v>656</v>
      </c>
      <c r="E219">
        <f>languages!A71</f>
        <v>70</v>
      </c>
    </row>
    <row r="220" spans="1:5" x14ac:dyDescent="0.35">
      <c r="A220">
        <v>219</v>
      </c>
      <c r="B220" t="s">
        <v>658</v>
      </c>
      <c r="C220" t="s">
        <v>660</v>
      </c>
      <c r="D220" t="s">
        <v>661</v>
      </c>
      <c r="E220">
        <f>languages!A72</f>
        <v>71</v>
      </c>
    </row>
    <row r="221" spans="1:5" x14ac:dyDescent="0.35">
      <c r="A221">
        <v>220</v>
      </c>
      <c r="B221" t="s">
        <v>1628</v>
      </c>
      <c r="C221" t="s">
        <v>1629</v>
      </c>
      <c r="D221" t="s">
        <v>1630</v>
      </c>
      <c r="E221">
        <f>languages!A72</f>
        <v>71</v>
      </c>
    </row>
    <row r="222" spans="1:5" x14ac:dyDescent="0.35">
      <c r="A222">
        <v>221</v>
      </c>
      <c r="B222" t="s">
        <v>663</v>
      </c>
      <c r="C222" t="s">
        <v>665</v>
      </c>
      <c r="D222" t="s">
        <v>666</v>
      </c>
      <c r="E222">
        <f>languages!A73</f>
        <v>72</v>
      </c>
    </row>
    <row r="223" spans="1:5" x14ac:dyDescent="0.35">
      <c r="A223">
        <v>222</v>
      </c>
      <c r="B223" t="s">
        <v>1631</v>
      </c>
      <c r="C223" t="s">
        <v>1632</v>
      </c>
      <c r="D223" t="s">
        <v>1633</v>
      </c>
      <c r="E223">
        <f>languages!A73</f>
        <v>72</v>
      </c>
    </row>
    <row r="224" spans="1:5" x14ac:dyDescent="0.35">
      <c r="A224">
        <v>223</v>
      </c>
      <c r="B224" t="s">
        <v>1634</v>
      </c>
      <c r="C224" t="s">
        <v>1635</v>
      </c>
      <c r="D224" t="s">
        <v>1636</v>
      </c>
      <c r="E224">
        <f>languages!A73</f>
        <v>72</v>
      </c>
    </row>
    <row r="225" spans="1:5" x14ac:dyDescent="0.35">
      <c r="A225">
        <v>224</v>
      </c>
      <c r="B225" t="s">
        <v>668</v>
      </c>
      <c r="C225" t="s">
        <v>670</v>
      </c>
      <c r="D225" t="s">
        <v>671</v>
      </c>
      <c r="E225">
        <f>languages!A74</f>
        <v>73</v>
      </c>
    </row>
    <row r="226" spans="1:5" x14ac:dyDescent="0.35">
      <c r="A226">
        <v>225</v>
      </c>
      <c r="B226" t="s">
        <v>673</v>
      </c>
      <c r="C226" t="s">
        <v>675</v>
      </c>
      <c r="D226" t="s">
        <v>676</v>
      </c>
      <c r="E226">
        <f>languages!A75</f>
        <v>74</v>
      </c>
    </row>
    <row r="227" spans="1:5" x14ac:dyDescent="0.35">
      <c r="A227">
        <v>226</v>
      </c>
      <c r="B227" t="s">
        <v>1637</v>
      </c>
      <c r="C227" t="s">
        <v>1638</v>
      </c>
      <c r="D227" t="s">
        <v>1639</v>
      </c>
      <c r="E227">
        <f>languages!A75</f>
        <v>74</v>
      </c>
    </row>
    <row r="228" spans="1:5" x14ac:dyDescent="0.35">
      <c r="A228">
        <v>227</v>
      </c>
      <c r="B228" t="s">
        <v>678</v>
      </c>
      <c r="C228" t="s">
        <v>680</v>
      </c>
      <c r="D228" t="s">
        <v>681</v>
      </c>
      <c r="E228">
        <f>languages!A76</f>
        <v>75</v>
      </c>
    </row>
    <row r="229" spans="1:5" x14ac:dyDescent="0.35">
      <c r="A229">
        <v>228</v>
      </c>
      <c r="B229" t="s">
        <v>683</v>
      </c>
      <c r="C229" t="s">
        <v>685</v>
      </c>
      <c r="D229" t="s">
        <v>686</v>
      </c>
      <c r="E229">
        <f>languages!A77</f>
        <v>76</v>
      </c>
    </row>
    <row r="230" spans="1:5" x14ac:dyDescent="0.35">
      <c r="A230">
        <v>229</v>
      </c>
      <c r="B230" t="s">
        <v>1640</v>
      </c>
      <c r="C230" t="s">
        <v>1641</v>
      </c>
      <c r="D230" t="s">
        <v>1642</v>
      </c>
      <c r="E230">
        <f>languages!A77</f>
        <v>76</v>
      </c>
    </row>
    <row r="231" spans="1:5" x14ac:dyDescent="0.35">
      <c r="A231">
        <v>230</v>
      </c>
      <c r="B231" t="s">
        <v>688</v>
      </c>
      <c r="C231" t="s">
        <v>690</v>
      </c>
      <c r="D231" t="s">
        <v>691</v>
      </c>
      <c r="E231">
        <f>languages!A78</f>
        <v>77</v>
      </c>
    </row>
    <row r="232" spans="1:5" x14ac:dyDescent="0.35">
      <c r="A232">
        <v>231</v>
      </c>
      <c r="B232" t="s">
        <v>693</v>
      </c>
      <c r="C232" t="s">
        <v>1643</v>
      </c>
      <c r="D232" t="s">
        <v>696</v>
      </c>
      <c r="E232">
        <f>languages!A79</f>
        <v>78</v>
      </c>
    </row>
    <row r="233" spans="1:5" x14ac:dyDescent="0.35">
      <c r="A233">
        <v>232</v>
      </c>
      <c r="B233" t="s">
        <v>1644</v>
      </c>
      <c r="C233" t="s">
        <v>1645</v>
      </c>
      <c r="D233" t="s">
        <v>1646</v>
      </c>
      <c r="E233">
        <f>languages!A79</f>
        <v>78</v>
      </c>
    </row>
    <row r="234" spans="1:5" x14ac:dyDescent="0.35">
      <c r="A234">
        <v>233</v>
      </c>
      <c r="B234" t="s">
        <v>698</v>
      </c>
      <c r="C234" t="s">
        <v>1647</v>
      </c>
      <c r="D234" t="s">
        <v>701</v>
      </c>
      <c r="E234">
        <f>languages!A80</f>
        <v>79</v>
      </c>
    </row>
    <row r="235" spans="1:5" x14ac:dyDescent="0.35">
      <c r="A235">
        <v>234</v>
      </c>
      <c r="B235" t="s">
        <v>703</v>
      </c>
      <c r="C235" t="s">
        <v>705</v>
      </c>
      <c r="D235" t="s">
        <v>706</v>
      </c>
      <c r="E235">
        <f>languages!A81</f>
        <v>80</v>
      </c>
    </row>
    <row r="236" spans="1:5" x14ac:dyDescent="0.35">
      <c r="A236">
        <v>235</v>
      </c>
      <c r="B236" t="s">
        <v>708</v>
      </c>
      <c r="C236" t="s">
        <v>710</v>
      </c>
      <c r="D236" t="s">
        <v>710</v>
      </c>
      <c r="E236">
        <f>languages!A82</f>
        <v>81</v>
      </c>
    </row>
    <row r="237" spans="1:5" x14ac:dyDescent="0.35">
      <c r="A237">
        <v>236</v>
      </c>
      <c r="B237" t="s">
        <v>1648</v>
      </c>
      <c r="C237" t="s">
        <v>1649</v>
      </c>
      <c r="D237" t="s">
        <v>1650</v>
      </c>
      <c r="E237">
        <f>languages!A82</f>
        <v>81</v>
      </c>
    </row>
    <row r="238" spans="1:5" x14ac:dyDescent="0.35">
      <c r="A238">
        <v>237</v>
      </c>
      <c r="B238" t="s">
        <v>712</v>
      </c>
      <c r="C238" t="s">
        <v>286</v>
      </c>
      <c r="D238" t="s">
        <v>714</v>
      </c>
      <c r="E238">
        <f>languages!A83</f>
        <v>82</v>
      </c>
    </row>
    <row r="239" spans="1:5" x14ac:dyDescent="0.35">
      <c r="A239">
        <v>238</v>
      </c>
      <c r="B239" t="s">
        <v>1651</v>
      </c>
      <c r="C239" t="s">
        <v>1652</v>
      </c>
      <c r="D239" t="s">
        <v>1653</v>
      </c>
      <c r="E239">
        <f>languages!A83</f>
        <v>82</v>
      </c>
    </row>
    <row r="240" spans="1:5" x14ac:dyDescent="0.35">
      <c r="A240">
        <v>239</v>
      </c>
      <c r="B240" t="s">
        <v>716</v>
      </c>
      <c r="C240" t="s">
        <v>288</v>
      </c>
      <c r="D240" t="s">
        <v>718</v>
      </c>
      <c r="E240">
        <f>languages!A84</f>
        <v>83</v>
      </c>
    </row>
    <row r="241" spans="1:5" x14ac:dyDescent="0.35">
      <c r="A241">
        <v>240</v>
      </c>
      <c r="B241" t="s">
        <v>1654</v>
      </c>
      <c r="C241" t="s">
        <v>1655</v>
      </c>
      <c r="D241" t="s">
        <v>1656</v>
      </c>
      <c r="E241">
        <f>languages!A84</f>
        <v>83</v>
      </c>
    </row>
    <row r="242" spans="1:5" x14ac:dyDescent="0.35">
      <c r="A242">
        <v>241</v>
      </c>
      <c r="B242" t="s">
        <v>720</v>
      </c>
      <c r="C242" t="s">
        <v>721</v>
      </c>
      <c r="D242" t="s">
        <v>722</v>
      </c>
      <c r="E242">
        <f>languages!A85</f>
        <v>84</v>
      </c>
    </row>
    <row r="243" spans="1:5" x14ac:dyDescent="0.35">
      <c r="A243">
        <v>242</v>
      </c>
      <c r="B243" t="s">
        <v>1657</v>
      </c>
      <c r="C243" t="s">
        <v>1658</v>
      </c>
      <c r="D243" t="s">
        <v>1659</v>
      </c>
      <c r="E243">
        <f>languages!A85</f>
        <v>84</v>
      </c>
    </row>
    <row r="244" spans="1:5" x14ac:dyDescent="0.35">
      <c r="A244">
        <v>243</v>
      </c>
      <c r="B244" t="s">
        <v>724</v>
      </c>
      <c r="C244" t="s">
        <v>726</v>
      </c>
      <c r="D244" t="s">
        <v>726</v>
      </c>
      <c r="E244">
        <f>languages!A86</f>
        <v>85</v>
      </c>
    </row>
    <row r="245" spans="1:5" x14ac:dyDescent="0.35">
      <c r="A245">
        <v>244</v>
      </c>
      <c r="B245" t="s">
        <v>728</v>
      </c>
      <c r="C245" t="s">
        <v>730</v>
      </c>
      <c r="D245" t="s">
        <v>731</v>
      </c>
      <c r="E245">
        <f>languages!A87</f>
        <v>86</v>
      </c>
    </row>
    <row r="246" spans="1:5" x14ac:dyDescent="0.35">
      <c r="A246">
        <v>245</v>
      </c>
      <c r="B246" t="s">
        <v>733</v>
      </c>
      <c r="C246" t="s">
        <v>735</v>
      </c>
      <c r="D246" t="s">
        <v>736</v>
      </c>
      <c r="E246">
        <f>languages!A88</f>
        <v>87</v>
      </c>
    </row>
    <row r="247" spans="1:5" x14ac:dyDescent="0.35">
      <c r="A247">
        <v>246</v>
      </c>
      <c r="B247" t="s">
        <v>738</v>
      </c>
      <c r="C247" t="s">
        <v>740</v>
      </c>
      <c r="D247" t="s">
        <v>741</v>
      </c>
      <c r="E247">
        <f>languages!A89</f>
        <v>88</v>
      </c>
    </row>
    <row r="248" spans="1:5" x14ac:dyDescent="0.35">
      <c r="A248">
        <v>247</v>
      </c>
      <c r="B248" t="s">
        <v>743</v>
      </c>
      <c r="C248" t="s">
        <v>745</v>
      </c>
      <c r="D248" t="s">
        <v>746</v>
      </c>
      <c r="E248">
        <f>languages!A90</f>
        <v>89</v>
      </c>
    </row>
    <row r="249" spans="1:5" x14ac:dyDescent="0.35">
      <c r="A249">
        <v>248</v>
      </c>
      <c r="B249" t="s">
        <v>1660</v>
      </c>
      <c r="C249" t="s">
        <v>1661</v>
      </c>
      <c r="D249" t="s">
        <v>1662</v>
      </c>
      <c r="E249">
        <f>languages!A90</f>
        <v>89</v>
      </c>
    </row>
    <row r="250" spans="1:5" x14ac:dyDescent="0.35">
      <c r="A250">
        <v>249</v>
      </c>
      <c r="B250" t="s">
        <v>748</v>
      </c>
      <c r="C250" t="s">
        <v>1663</v>
      </c>
      <c r="D250" t="s">
        <v>751</v>
      </c>
      <c r="E250">
        <f>languages!A91</f>
        <v>90</v>
      </c>
    </row>
    <row r="251" spans="1:5" x14ac:dyDescent="0.35">
      <c r="A251">
        <v>250</v>
      </c>
      <c r="B251" t="s">
        <v>753</v>
      </c>
      <c r="C251" t="s">
        <v>252</v>
      </c>
      <c r="D251" t="s">
        <v>755</v>
      </c>
      <c r="E251">
        <f>languages!A92</f>
        <v>91</v>
      </c>
    </row>
    <row r="252" spans="1:5" x14ac:dyDescent="0.35">
      <c r="A252">
        <v>251</v>
      </c>
      <c r="B252" t="s">
        <v>757</v>
      </c>
      <c r="C252" t="s">
        <v>759</v>
      </c>
      <c r="D252" t="s">
        <v>760</v>
      </c>
      <c r="E252">
        <f>languages!A93</f>
        <v>92</v>
      </c>
    </row>
    <row r="253" spans="1:5" x14ac:dyDescent="0.35">
      <c r="A253">
        <v>252</v>
      </c>
      <c r="B253" t="s">
        <v>762</v>
      </c>
      <c r="C253" t="s">
        <v>764</v>
      </c>
      <c r="D253" t="s">
        <v>765</v>
      </c>
      <c r="E253">
        <f>languages!A94</f>
        <v>93</v>
      </c>
    </row>
    <row r="254" spans="1:5" x14ac:dyDescent="0.35">
      <c r="A254">
        <v>253</v>
      </c>
      <c r="B254" t="s">
        <v>1664</v>
      </c>
      <c r="C254" t="s">
        <v>1665</v>
      </c>
      <c r="D254" t="s">
        <v>1666</v>
      </c>
      <c r="E254">
        <f>languages!A94</f>
        <v>93</v>
      </c>
    </row>
    <row r="255" spans="1:5" x14ac:dyDescent="0.35">
      <c r="A255">
        <v>254</v>
      </c>
      <c r="B255" t="s">
        <v>767</v>
      </c>
      <c r="C255" t="s">
        <v>1667</v>
      </c>
      <c r="D255" t="s">
        <v>770</v>
      </c>
      <c r="E255">
        <f>languages!A95</f>
        <v>94</v>
      </c>
    </row>
    <row r="256" spans="1:5" x14ac:dyDescent="0.35">
      <c r="A256">
        <v>255</v>
      </c>
      <c r="B256" t="s">
        <v>772</v>
      </c>
      <c r="C256" t="s">
        <v>774</v>
      </c>
      <c r="D256" t="s">
        <v>775</v>
      </c>
      <c r="E256">
        <f>languages!A96</f>
        <v>95</v>
      </c>
    </row>
    <row r="257" spans="1:5" x14ac:dyDescent="0.35">
      <c r="A257">
        <v>256</v>
      </c>
      <c r="B257" t="s">
        <v>1668</v>
      </c>
      <c r="C257" t="s">
        <v>1669</v>
      </c>
      <c r="D257" t="s">
        <v>1670</v>
      </c>
      <c r="E257">
        <f>languages!A96</f>
        <v>95</v>
      </c>
    </row>
    <row r="258" spans="1:5" x14ac:dyDescent="0.35">
      <c r="A258">
        <v>257</v>
      </c>
      <c r="B258" t="s">
        <v>1671</v>
      </c>
      <c r="C258" t="s">
        <v>1672</v>
      </c>
      <c r="D258" t="s">
        <v>1673</v>
      </c>
      <c r="E258">
        <f>languages!A96</f>
        <v>95</v>
      </c>
    </row>
    <row r="259" spans="1:5" x14ac:dyDescent="0.35">
      <c r="A259">
        <v>258</v>
      </c>
      <c r="B259" t="s">
        <v>777</v>
      </c>
      <c r="C259" t="s">
        <v>292</v>
      </c>
      <c r="D259" t="s">
        <v>779</v>
      </c>
      <c r="E259">
        <f>languages!A97</f>
        <v>96</v>
      </c>
    </row>
    <row r="260" spans="1:5" x14ac:dyDescent="0.35">
      <c r="A260">
        <v>259</v>
      </c>
      <c r="B260" t="s">
        <v>781</v>
      </c>
      <c r="C260" t="s">
        <v>783</v>
      </c>
      <c r="D260" t="s">
        <v>784</v>
      </c>
      <c r="E260">
        <f>languages!A98</f>
        <v>97</v>
      </c>
    </row>
    <row r="261" spans="1:5" x14ac:dyDescent="0.35">
      <c r="A261">
        <v>260</v>
      </c>
      <c r="B261" t="s">
        <v>1674</v>
      </c>
      <c r="C261" t="s">
        <v>1675</v>
      </c>
      <c r="D261" t="s">
        <v>1676</v>
      </c>
      <c r="E261">
        <f>languages!A98</f>
        <v>97</v>
      </c>
    </row>
    <row r="262" spans="1:5" x14ac:dyDescent="0.35">
      <c r="A262">
        <v>261</v>
      </c>
      <c r="B262" t="s">
        <v>786</v>
      </c>
      <c r="C262" t="s">
        <v>788</v>
      </c>
      <c r="D262" t="s">
        <v>789</v>
      </c>
      <c r="E262">
        <f>languages!A99</f>
        <v>98</v>
      </c>
    </row>
    <row r="263" spans="1:5" x14ac:dyDescent="0.35">
      <c r="A263">
        <v>262</v>
      </c>
      <c r="B263" t="s">
        <v>1677</v>
      </c>
      <c r="C263" t="s">
        <v>1678</v>
      </c>
      <c r="D263" t="s">
        <v>1679</v>
      </c>
      <c r="E263">
        <f>languages!A99</f>
        <v>98</v>
      </c>
    </row>
    <row r="264" spans="1:5" x14ac:dyDescent="0.35">
      <c r="A264">
        <v>263</v>
      </c>
      <c r="B264" t="s">
        <v>791</v>
      </c>
      <c r="C264" t="s">
        <v>793</v>
      </c>
      <c r="D264" t="s">
        <v>794</v>
      </c>
      <c r="E264">
        <f>languages!A100</f>
        <v>99</v>
      </c>
    </row>
    <row r="265" spans="1:5" x14ac:dyDescent="0.35">
      <c r="A265">
        <v>264</v>
      </c>
      <c r="B265" t="s">
        <v>1680</v>
      </c>
      <c r="C265" t="s">
        <v>1681</v>
      </c>
      <c r="D265" t="s">
        <v>1682</v>
      </c>
      <c r="E265">
        <f>languages!A100</f>
        <v>99</v>
      </c>
    </row>
    <row r="266" spans="1:5" x14ac:dyDescent="0.35">
      <c r="A266">
        <v>265</v>
      </c>
      <c r="B266" t="s">
        <v>796</v>
      </c>
      <c r="C266" t="s">
        <v>798</v>
      </c>
      <c r="D266" t="s">
        <v>798</v>
      </c>
      <c r="E266">
        <f>languages!A101</f>
        <v>100</v>
      </c>
    </row>
    <row r="267" spans="1:5" x14ac:dyDescent="0.35">
      <c r="A267">
        <v>266</v>
      </c>
      <c r="B267" t="s">
        <v>1683</v>
      </c>
      <c r="C267" t="s">
        <v>1684</v>
      </c>
      <c r="D267" t="s">
        <v>1685</v>
      </c>
      <c r="E267">
        <f>languages!A101</f>
        <v>100</v>
      </c>
    </row>
    <row r="268" spans="1:5" x14ac:dyDescent="0.35">
      <c r="A268">
        <v>267</v>
      </c>
      <c r="B268" t="s">
        <v>800</v>
      </c>
      <c r="C268" t="s">
        <v>802</v>
      </c>
      <c r="D268" t="s">
        <v>803</v>
      </c>
      <c r="E268">
        <f>languages!A102</f>
        <v>101</v>
      </c>
    </row>
    <row r="269" spans="1:5" x14ac:dyDescent="0.35">
      <c r="A269">
        <v>268</v>
      </c>
      <c r="B269" t="s">
        <v>805</v>
      </c>
      <c r="C269" t="s">
        <v>1686</v>
      </c>
      <c r="D269" t="s">
        <v>808</v>
      </c>
      <c r="E269">
        <f>languages!A103</f>
        <v>102</v>
      </c>
    </row>
    <row r="270" spans="1:5" x14ac:dyDescent="0.35">
      <c r="A270">
        <v>269</v>
      </c>
      <c r="B270" t="s">
        <v>810</v>
      </c>
      <c r="C270" t="s">
        <v>812</v>
      </c>
      <c r="D270" t="s">
        <v>813</v>
      </c>
      <c r="E270">
        <f>languages!A104</f>
        <v>103</v>
      </c>
    </row>
    <row r="271" spans="1:5" x14ac:dyDescent="0.35">
      <c r="A271">
        <v>270</v>
      </c>
      <c r="B271" t="s">
        <v>1687</v>
      </c>
      <c r="C271" t="s">
        <v>1688</v>
      </c>
      <c r="D271" t="s">
        <v>1689</v>
      </c>
      <c r="E271">
        <f>languages!A104</f>
        <v>103</v>
      </c>
    </row>
    <row r="272" spans="1:5" x14ac:dyDescent="0.35">
      <c r="A272">
        <v>271</v>
      </c>
      <c r="B272" t="s">
        <v>815</v>
      </c>
      <c r="C272" t="s">
        <v>294</v>
      </c>
      <c r="D272" t="s">
        <v>817</v>
      </c>
      <c r="E272">
        <f>languages!A105</f>
        <v>104</v>
      </c>
    </row>
    <row r="273" spans="1:5" x14ac:dyDescent="0.35">
      <c r="A273">
        <v>272</v>
      </c>
      <c r="B273" t="s">
        <v>1690</v>
      </c>
      <c r="C273" t="s">
        <v>1691</v>
      </c>
      <c r="D273" t="s">
        <v>1692</v>
      </c>
      <c r="E273">
        <f>languages!A105</f>
        <v>104</v>
      </c>
    </row>
    <row r="274" spans="1:5" x14ac:dyDescent="0.35">
      <c r="A274">
        <v>273</v>
      </c>
      <c r="B274" t="s">
        <v>819</v>
      </c>
      <c r="C274" t="s">
        <v>821</v>
      </c>
      <c r="D274" t="s">
        <v>822</v>
      </c>
      <c r="E274">
        <f>languages!A106</f>
        <v>105</v>
      </c>
    </row>
    <row r="275" spans="1:5" x14ac:dyDescent="0.35">
      <c r="A275">
        <v>274</v>
      </c>
      <c r="B275" t="s">
        <v>824</v>
      </c>
      <c r="C275" t="s">
        <v>826</v>
      </c>
      <c r="D275" t="s">
        <v>827</v>
      </c>
      <c r="E275">
        <f>languages!A107</f>
        <v>106</v>
      </c>
    </row>
    <row r="276" spans="1:5" x14ac:dyDescent="0.35">
      <c r="A276">
        <v>275</v>
      </c>
      <c r="B276" t="s">
        <v>1693</v>
      </c>
      <c r="C276" t="s">
        <v>1694</v>
      </c>
      <c r="D276" t="s">
        <v>1695</v>
      </c>
      <c r="E276">
        <f>languages!A107</f>
        <v>106</v>
      </c>
    </row>
    <row r="277" spans="1:5" x14ac:dyDescent="0.35">
      <c r="A277">
        <v>276</v>
      </c>
      <c r="B277" t="s">
        <v>829</v>
      </c>
      <c r="C277" t="s">
        <v>831</v>
      </c>
      <c r="D277" t="s">
        <v>832</v>
      </c>
      <c r="E277">
        <f>languages!A108</f>
        <v>107</v>
      </c>
    </row>
    <row r="278" spans="1:5" x14ac:dyDescent="0.35">
      <c r="A278">
        <v>277</v>
      </c>
      <c r="B278" t="s">
        <v>1696</v>
      </c>
      <c r="C278" t="s">
        <v>1697</v>
      </c>
      <c r="D278" t="s">
        <v>1698</v>
      </c>
      <c r="E278">
        <f>languages!A108</f>
        <v>107</v>
      </c>
    </row>
    <row r="279" spans="1:5" x14ac:dyDescent="0.35">
      <c r="A279">
        <v>278</v>
      </c>
      <c r="B279" t="s">
        <v>1699</v>
      </c>
      <c r="C279" t="s">
        <v>1700</v>
      </c>
      <c r="D279" t="s">
        <v>1701</v>
      </c>
      <c r="E279">
        <f>languages!A108</f>
        <v>107</v>
      </c>
    </row>
    <row r="280" spans="1:5" x14ac:dyDescent="0.35">
      <c r="A280">
        <v>279</v>
      </c>
      <c r="B280" t="s">
        <v>834</v>
      </c>
      <c r="C280" t="s">
        <v>836</v>
      </c>
      <c r="D280" t="s">
        <v>837</v>
      </c>
      <c r="E280">
        <f>languages!A109</f>
        <v>108</v>
      </c>
    </row>
    <row r="281" spans="1:5" x14ac:dyDescent="0.35">
      <c r="A281">
        <v>280</v>
      </c>
      <c r="B281" t="s">
        <v>1702</v>
      </c>
      <c r="C281" t="s">
        <v>1703</v>
      </c>
      <c r="D281" t="s">
        <v>1704</v>
      </c>
      <c r="E281">
        <f>languages!A109</f>
        <v>108</v>
      </c>
    </row>
    <row r="282" spans="1:5" x14ac:dyDescent="0.35">
      <c r="A282">
        <v>281</v>
      </c>
      <c r="B282" t="s">
        <v>839</v>
      </c>
      <c r="C282" t="s">
        <v>841</v>
      </c>
      <c r="D282" t="s">
        <v>842</v>
      </c>
      <c r="E282">
        <f>languages!A110</f>
        <v>109</v>
      </c>
    </row>
    <row r="283" spans="1:5" x14ac:dyDescent="0.35">
      <c r="A283">
        <v>282</v>
      </c>
      <c r="B283" t="s">
        <v>1705</v>
      </c>
      <c r="C283" t="s">
        <v>1706</v>
      </c>
      <c r="D283" t="s">
        <v>1707</v>
      </c>
      <c r="E283">
        <f>languages!A110</f>
        <v>109</v>
      </c>
    </row>
    <row r="284" spans="1:5" x14ac:dyDescent="0.35">
      <c r="A284">
        <v>283</v>
      </c>
      <c r="B284" t="s">
        <v>844</v>
      </c>
      <c r="C284" t="s">
        <v>846</v>
      </c>
      <c r="D284" t="s">
        <v>847</v>
      </c>
      <c r="E284">
        <f>languages!A111</f>
        <v>110</v>
      </c>
    </row>
    <row r="285" spans="1:5" x14ac:dyDescent="0.35">
      <c r="A285">
        <v>284</v>
      </c>
      <c r="B285" t="s">
        <v>849</v>
      </c>
      <c r="C285" t="s">
        <v>851</v>
      </c>
      <c r="D285" t="s">
        <v>852</v>
      </c>
      <c r="E285">
        <f>languages!A112</f>
        <v>111</v>
      </c>
    </row>
    <row r="286" spans="1:5" x14ac:dyDescent="0.35">
      <c r="A286">
        <v>285</v>
      </c>
      <c r="B286" t="s">
        <v>1708</v>
      </c>
      <c r="C286" t="s">
        <v>1709</v>
      </c>
      <c r="D286" t="s">
        <v>1710</v>
      </c>
      <c r="E286">
        <f>languages!A112</f>
        <v>111</v>
      </c>
    </row>
    <row r="287" spans="1:5" x14ac:dyDescent="0.35">
      <c r="A287">
        <v>286</v>
      </c>
      <c r="B287" t="s">
        <v>854</v>
      </c>
      <c r="C287" t="s">
        <v>1711</v>
      </c>
      <c r="D287" t="s">
        <v>857</v>
      </c>
      <c r="E287">
        <f>languages!A113</f>
        <v>112</v>
      </c>
    </row>
    <row r="288" spans="1:5" x14ac:dyDescent="0.35">
      <c r="A288">
        <v>287</v>
      </c>
      <c r="B288" t="s">
        <v>1712</v>
      </c>
      <c r="C288" t="s">
        <v>1713</v>
      </c>
      <c r="D288" t="s">
        <v>1714</v>
      </c>
      <c r="E288">
        <f>languages!A113</f>
        <v>112</v>
      </c>
    </row>
    <row r="289" spans="1:5" x14ac:dyDescent="0.35">
      <c r="A289">
        <v>288</v>
      </c>
      <c r="B289" t="s">
        <v>859</v>
      </c>
      <c r="C289" t="s">
        <v>861</v>
      </c>
      <c r="D289" t="s">
        <v>862</v>
      </c>
      <c r="E289">
        <f>languages!A114</f>
        <v>113</v>
      </c>
    </row>
    <row r="290" spans="1:5" x14ac:dyDescent="0.35">
      <c r="A290">
        <v>289</v>
      </c>
      <c r="B290" t="s">
        <v>1715</v>
      </c>
      <c r="C290" t="s">
        <v>1716</v>
      </c>
      <c r="D290" t="s">
        <v>1717</v>
      </c>
      <c r="E290">
        <f>languages!A114</f>
        <v>113</v>
      </c>
    </row>
    <row r="291" spans="1:5" x14ac:dyDescent="0.35">
      <c r="A291">
        <v>290</v>
      </c>
      <c r="B291" t="s">
        <v>1718</v>
      </c>
      <c r="C291" t="s">
        <v>1719</v>
      </c>
      <c r="D291" t="s">
        <v>1720</v>
      </c>
      <c r="E291">
        <f>languages!A114</f>
        <v>113</v>
      </c>
    </row>
    <row r="292" spans="1:5" x14ac:dyDescent="0.35">
      <c r="A292">
        <v>291</v>
      </c>
      <c r="B292" t="s">
        <v>864</v>
      </c>
      <c r="C292" t="s">
        <v>866</v>
      </c>
      <c r="D292" t="s">
        <v>867</v>
      </c>
      <c r="E292">
        <f>languages!A115</f>
        <v>114</v>
      </c>
    </row>
    <row r="293" spans="1:5" x14ac:dyDescent="0.35">
      <c r="A293">
        <v>292</v>
      </c>
      <c r="B293" t="s">
        <v>869</v>
      </c>
      <c r="C293" t="s">
        <v>871</v>
      </c>
      <c r="D293" t="s">
        <v>872</v>
      </c>
      <c r="E293">
        <f>languages!A116</f>
        <v>115</v>
      </c>
    </row>
    <row r="294" spans="1:5" x14ac:dyDescent="0.35">
      <c r="A294">
        <v>293</v>
      </c>
      <c r="B294" t="s">
        <v>1721</v>
      </c>
      <c r="C294" t="s">
        <v>1722</v>
      </c>
      <c r="D294" t="s">
        <v>1723</v>
      </c>
      <c r="E294">
        <f>languages!A116</f>
        <v>115</v>
      </c>
    </row>
    <row r="295" spans="1:5" x14ac:dyDescent="0.35">
      <c r="A295">
        <v>294</v>
      </c>
      <c r="B295" t="s">
        <v>1724</v>
      </c>
      <c r="C295" t="s">
        <v>1725</v>
      </c>
      <c r="D295" t="s">
        <v>1726</v>
      </c>
      <c r="E295">
        <f>languages!A116</f>
        <v>115</v>
      </c>
    </row>
    <row r="296" spans="1:5" x14ac:dyDescent="0.35">
      <c r="A296">
        <v>295</v>
      </c>
      <c r="B296" t="s">
        <v>1727</v>
      </c>
      <c r="C296" t="s">
        <v>1728</v>
      </c>
      <c r="D296" t="s">
        <v>1729</v>
      </c>
      <c r="E296">
        <f>languages!A116</f>
        <v>115</v>
      </c>
    </row>
    <row r="297" spans="1:5" x14ac:dyDescent="0.35">
      <c r="A297">
        <v>296</v>
      </c>
      <c r="B297" t="s">
        <v>1730</v>
      </c>
      <c r="C297" t="s">
        <v>1731</v>
      </c>
      <c r="D297" t="s">
        <v>1732</v>
      </c>
      <c r="E297">
        <f>languages!A116</f>
        <v>115</v>
      </c>
    </row>
    <row r="298" spans="1:5" x14ac:dyDescent="0.35">
      <c r="A298">
        <v>297</v>
      </c>
      <c r="B298" t="s">
        <v>1733</v>
      </c>
      <c r="C298" t="s">
        <v>1734</v>
      </c>
      <c r="D298" t="s">
        <v>1735</v>
      </c>
      <c r="E298">
        <f>languages!A116</f>
        <v>115</v>
      </c>
    </row>
    <row r="299" spans="1:5" x14ac:dyDescent="0.35">
      <c r="A299">
        <v>298</v>
      </c>
      <c r="B299" t="s">
        <v>874</v>
      </c>
      <c r="C299" t="s">
        <v>876</v>
      </c>
      <c r="D299" t="s">
        <v>877</v>
      </c>
      <c r="E299">
        <f>languages!A117</f>
        <v>116</v>
      </c>
    </row>
    <row r="300" spans="1:5" x14ac:dyDescent="0.35">
      <c r="A300">
        <v>299</v>
      </c>
      <c r="B300" t="s">
        <v>1736</v>
      </c>
      <c r="C300" t="s">
        <v>1737</v>
      </c>
      <c r="D300" t="s">
        <v>1738</v>
      </c>
      <c r="E300">
        <f>languages!A117</f>
        <v>116</v>
      </c>
    </row>
    <row r="301" spans="1:5" x14ac:dyDescent="0.35">
      <c r="A301">
        <v>300</v>
      </c>
      <c r="B301" t="s">
        <v>879</v>
      </c>
      <c r="C301" t="s">
        <v>881</v>
      </c>
      <c r="D301" t="s">
        <v>882</v>
      </c>
      <c r="E301">
        <f>languages!A118</f>
        <v>117</v>
      </c>
    </row>
    <row r="302" spans="1:5" x14ac:dyDescent="0.35">
      <c r="A302">
        <v>301</v>
      </c>
      <c r="B302" t="s">
        <v>884</v>
      </c>
      <c r="C302" t="s">
        <v>1739</v>
      </c>
      <c r="D302" t="s">
        <v>857</v>
      </c>
      <c r="E302">
        <f>languages!A119</f>
        <v>118</v>
      </c>
    </row>
    <row r="303" spans="1:5" x14ac:dyDescent="0.35">
      <c r="A303">
        <v>302</v>
      </c>
      <c r="B303" t="s">
        <v>888</v>
      </c>
      <c r="C303" t="s">
        <v>890</v>
      </c>
      <c r="D303" t="s">
        <v>891</v>
      </c>
      <c r="E303">
        <f>languages!A120</f>
        <v>119</v>
      </c>
    </row>
    <row r="304" spans="1:5" x14ac:dyDescent="0.35">
      <c r="A304">
        <v>303</v>
      </c>
      <c r="B304" t="s">
        <v>893</v>
      </c>
      <c r="C304" t="s">
        <v>895</v>
      </c>
      <c r="D304" t="s">
        <v>896</v>
      </c>
      <c r="E304">
        <f>languages!A121</f>
        <v>120</v>
      </c>
    </row>
    <row r="305" spans="1:5" x14ac:dyDescent="0.35">
      <c r="A305">
        <v>304</v>
      </c>
      <c r="B305" t="s">
        <v>898</v>
      </c>
      <c r="C305" t="s">
        <v>900</v>
      </c>
      <c r="D305" t="s">
        <v>901</v>
      </c>
      <c r="E305">
        <f>languages!A122</f>
        <v>121</v>
      </c>
    </row>
    <row r="306" spans="1:5" x14ac:dyDescent="0.35">
      <c r="A306">
        <v>305</v>
      </c>
      <c r="B306" t="s">
        <v>903</v>
      </c>
      <c r="C306" t="s">
        <v>905</v>
      </c>
      <c r="D306" t="s">
        <v>906</v>
      </c>
      <c r="E306">
        <f>languages!A123</f>
        <v>122</v>
      </c>
    </row>
    <row r="307" spans="1:5" x14ac:dyDescent="0.35">
      <c r="A307">
        <v>306</v>
      </c>
      <c r="B307" t="s">
        <v>908</v>
      </c>
      <c r="C307" t="s">
        <v>910</v>
      </c>
      <c r="D307" t="s">
        <v>911</v>
      </c>
      <c r="E307">
        <f>languages!A124</f>
        <v>123</v>
      </c>
    </row>
    <row r="308" spans="1:5" x14ac:dyDescent="0.35">
      <c r="A308">
        <v>307</v>
      </c>
      <c r="B308" t="s">
        <v>1740</v>
      </c>
      <c r="C308" t="s">
        <v>1741</v>
      </c>
      <c r="D308" t="s">
        <v>1742</v>
      </c>
      <c r="E308">
        <f>languages!A124</f>
        <v>123</v>
      </c>
    </row>
    <row r="309" spans="1:5" x14ac:dyDescent="0.35">
      <c r="A309">
        <v>308</v>
      </c>
      <c r="B309" t="s">
        <v>1743</v>
      </c>
      <c r="C309" t="s">
        <v>1744</v>
      </c>
      <c r="D309" t="s">
        <v>1745</v>
      </c>
      <c r="E309">
        <f>languages!A124</f>
        <v>123</v>
      </c>
    </row>
    <row r="310" spans="1:5" x14ac:dyDescent="0.35">
      <c r="A310">
        <v>309</v>
      </c>
      <c r="B310" t="s">
        <v>913</v>
      </c>
      <c r="C310" t="s">
        <v>298</v>
      </c>
      <c r="D310" t="s">
        <v>916</v>
      </c>
      <c r="E310">
        <f>languages!A125</f>
        <v>124</v>
      </c>
    </row>
    <row r="311" spans="1:5" x14ac:dyDescent="0.35">
      <c r="A311">
        <v>310</v>
      </c>
      <c r="B311" t="s">
        <v>1746</v>
      </c>
      <c r="C311" t="s">
        <v>1747</v>
      </c>
      <c r="D311" t="s">
        <v>1748</v>
      </c>
      <c r="E311">
        <f>languages!A125</f>
        <v>124</v>
      </c>
    </row>
    <row r="312" spans="1:5" x14ac:dyDescent="0.35">
      <c r="A312">
        <v>311</v>
      </c>
      <c r="B312" t="s">
        <v>918</v>
      </c>
      <c r="C312" t="s">
        <v>1749</v>
      </c>
      <c r="D312" t="s">
        <v>921</v>
      </c>
      <c r="E312">
        <f>languages!A126</f>
        <v>125</v>
      </c>
    </row>
    <row r="313" spans="1:5" x14ac:dyDescent="0.35">
      <c r="A313">
        <v>312</v>
      </c>
      <c r="B313" t="s">
        <v>923</v>
      </c>
      <c r="C313" t="s">
        <v>925</v>
      </c>
      <c r="D313" t="s">
        <v>926</v>
      </c>
      <c r="E313">
        <f>languages!A127</f>
        <v>126</v>
      </c>
    </row>
    <row r="314" spans="1:5" x14ac:dyDescent="0.35">
      <c r="A314">
        <v>313</v>
      </c>
      <c r="B314" t="s">
        <v>928</v>
      </c>
      <c r="C314" t="s">
        <v>930</v>
      </c>
      <c r="D314" t="s">
        <v>931</v>
      </c>
      <c r="E314">
        <f>languages!A128</f>
        <v>127</v>
      </c>
    </row>
    <row r="315" spans="1:5" x14ac:dyDescent="0.35">
      <c r="A315">
        <v>314</v>
      </c>
      <c r="B315" t="s">
        <v>933</v>
      </c>
      <c r="C315" t="s">
        <v>935</v>
      </c>
      <c r="D315" t="s">
        <v>936</v>
      </c>
      <c r="E315">
        <f>languages!A129</f>
        <v>128</v>
      </c>
    </row>
    <row r="316" spans="1:5" x14ac:dyDescent="0.35">
      <c r="A316">
        <v>315</v>
      </c>
      <c r="B316" t="s">
        <v>1750</v>
      </c>
      <c r="C316" t="s">
        <v>1751</v>
      </c>
      <c r="D316" t="s">
        <v>1752</v>
      </c>
      <c r="E316">
        <f>languages!A129</f>
        <v>128</v>
      </c>
    </row>
    <row r="317" spans="1:5" x14ac:dyDescent="0.35">
      <c r="A317">
        <v>316</v>
      </c>
      <c r="B317" t="s">
        <v>938</v>
      </c>
      <c r="C317" t="s">
        <v>940</v>
      </c>
      <c r="D317" t="s">
        <v>941</v>
      </c>
      <c r="E317">
        <f>languages!A130</f>
        <v>129</v>
      </c>
    </row>
    <row r="318" spans="1:5" x14ac:dyDescent="0.35">
      <c r="A318">
        <v>317</v>
      </c>
      <c r="B318" t="s">
        <v>1753</v>
      </c>
      <c r="C318" t="s">
        <v>1754</v>
      </c>
      <c r="D318" t="s">
        <v>1755</v>
      </c>
      <c r="E318">
        <f>languages!A130</f>
        <v>129</v>
      </c>
    </row>
    <row r="319" spans="1:5" x14ac:dyDescent="0.35">
      <c r="A319">
        <v>318</v>
      </c>
      <c r="B319" t="s">
        <v>943</v>
      </c>
      <c r="C319" t="s">
        <v>945</v>
      </c>
      <c r="D319" t="s">
        <v>946</v>
      </c>
      <c r="E319">
        <f>languages!A131</f>
        <v>130</v>
      </c>
    </row>
    <row r="320" spans="1:5" x14ac:dyDescent="0.35">
      <c r="A320">
        <v>319</v>
      </c>
      <c r="B320" t="s">
        <v>1756</v>
      </c>
      <c r="C320" t="s">
        <v>1757</v>
      </c>
      <c r="D320" t="s">
        <v>1758</v>
      </c>
      <c r="E320">
        <f>languages!A131</f>
        <v>130</v>
      </c>
    </row>
    <row r="321" spans="1:5" x14ac:dyDescent="0.35">
      <c r="A321">
        <v>320</v>
      </c>
      <c r="B321" t="s">
        <v>1759</v>
      </c>
      <c r="C321" t="s">
        <v>1760</v>
      </c>
      <c r="D321" t="s">
        <v>1761</v>
      </c>
      <c r="E321">
        <f>languages!A131</f>
        <v>130</v>
      </c>
    </row>
    <row r="322" spans="1:5" x14ac:dyDescent="0.35">
      <c r="A322">
        <v>321</v>
      </c>
      <c r="B322" t="s">
        <v>1762</v>
      </c>
      <c r="C322" t="s">
        <v>1763</v>
      </c>
      <c r="D322" t="s">
        <v>1764</v>
      </c>
      <c r="E322">
        <f>languages!A131</f>
        <v>130</v>
      </c>
    </row>
    <row r="323" spans="1:5" x14ac:dyDescent="0.35">
      <c r="A323">
        <v>322</v>
      </c>
      <c r="B323" t="s">
        <v>1765</v>
      </c>
      <c r="C323" t="s">
        <v>1766</v>
      </c>
      <c r="D323" t="s">
        <v>1767</v>
      </c>
      <c r="E323">
        <f>languages!A131</f>
        <v>130</v>
      </c>
    </row>
    <row r="324" spans="1:5" x14ac:dyDescent="0.35">
      <c r="A324">
        <v>323</v>
      </c>
      <c r="B324" t="s">
        <v>1768</v>
      </c>
      <c r="C324" t="s">
        <v>1769</v>
      </c>
      <c r="D324" t="s">
        <v>1770</v>
      </c>
      <c r="E324">
        <f>languages!A131</f>
        <v>130</v>
      </c>
    </row>
    <row r="325" spans="1:5" x14ac:dyDescent="0.35">
      <c r="A325">
        <v>324</v>
      </c>
      <c r="B325" t="s">
        <v>1771</v>
      </c>
      <c r="C325" t="s">
        <v>1772</v>
      </c>
      <c r="D325" t="s">
        <v>1773</v>
      </c>
      <c r="E325">
        <f>languages!A131</f>
        <v>130</v>
      </c>
    </row>
    <row r="326" spans="1:5" x14ac:dyDescent="0.35">
      <c r="A326">
        <v>325</v>
      </c>
      <c r="B326" t="s">
        <v>948</v>
      </c>
      <c r="C326" t="s">
        <v>950</v>
      </c>
      <c r="D326" t="s">
        <v>951</v>
      </c>
      <c r="E326">
        <f>languages!A132</f>
        <v>131</v>
      </c>
    </row>
    <row r="327" spans="1:5" x14ac:dyDescent="0.35">
      <c r="A327">
        <v>326</v>
      </c>
      <c r="B327" t="s">
        <v>953</v>
      </c>
      <c r="C327" t="s">
        <v>955</v>
      </c>
      <c r="D327" t="s">
        <v>956</v>
      </c>
      <c r="E327">
        <f>languages!A133</f>
        <v>132</v>
      </c>
    </row>
    <row r="328" spans="1:5" x14ac:dyDescent="0.35">
      <c r="A328">
        <v>327</v>
      </c>
      <c r="B328" t="s">
        <v>1774</v>
      </c>
      <c r="C328" t="s">
        <v>1775</v>
      </c>
      <c r="D328" t="s">
        <v>1776</v>
      </c>
      <c r="E328">
        <f>languages!A133</f>
        <v>132</v>
      </c>
    </row>
    <row r="329" spans="1:5" x14ac:dyDescent="0.35">
      <c r="A329">
        <v>328</v>
      </c>
      <c r="B329" t="s">
        <v>958</v>
      </c>
      <c r="C329" t="s">
        <v>1777</v>
      </c>
      <c r="D329" t="s">
        <v>961</v>
      </c>
      <c r="E329">
        <f>languages!A134</f>
        <v>133</v>
      </c>
    </row>
    <row r="330" spans="1:5" x14ac:dyDescent="0.35">
      <c r="A330">
        <v>329</v>
      </c>
      <c r="B330" t="s">
        <v>1778</v>
      </c>
      <c r="C330" t="s">
        <v>1779</v>
      </c>
      <c r="D330" t="s">
        <v>1780</v>
      </c>
      <c r="E330">
        <f>languages!A134</f>
        <v>133</v>
      </c>
    </row>
    <row r="331" spans="1:5" x14ac:dyDescent="0.35">
      <c r="A331">
        <v>330</v>
      </c>
      <c r="B331" t="s">
        <v>963</v>
      </c>
      <c r="C331" t="s">
        <v>965</v>
      </c>
      <c r="D331" t="s">
        <v>966</v>
      </c>
      <c r="E331">
        <f>languages!A135</f>
        <v>134</v>
      </c>
    </row>
    <row r="332" spans="1:5" x14ac:dyDescent="0.35">
      <c r="A332">
        <v>331</v>
      </c>
      <c r="B332" t="s">
        <v>1781</v>
      </c>
      <c r="C332" t="s">
        <v>1782</v>
      </c>
      <c r="D332" t="s">
        <v>1783</v>
      </c>
      <c r="E332">
        <f>languages!A135</f>
        <v>134</v>
      </c>
    </row>
    <row r="333" spans="1:5" x14ac:dyDescent="0.35">
      <c r="A333">
        <v>332</v>
      </c>
      <c r="B333" t="s">
        <v>1784</v>
      </c>
      <c r="C333" t="s">
        <v>1785</v>
      </c>
      <c r="D333" t="s">
        <v>1786</v>
      </c>
      <c r="E333">
        <f>languages!A135</f>
        <v>134</v>
      </c>
    </row>
    <row r="334" spans="1:5" x14ac:dyDescent="0.35">
      <c r="A334">
        <v>333</v>
      </c>
      <c r="B334" t="s">
        <v>968</v>
      </c>
      <c r="C334" t="s">
        <v>970</v>
      </c>
      <c r="D334" t="s">
        <v>971</v>
      </c>
      <c r="E334">
        <f>languages!A136</f>
        <v>135</v>
      </c>
    </row>
    <row r="335" spans="1:5" x14ac:dyDescent="0.35">
      <c r="A335">
        <v>334</v>
      </c>
      <c r="B335" t="s">
        <v>1787</v>
      </c>
      <c r="C335" t="s">
        <v>1788</v>
      </c>
      <c r="D335" t="s">
        <v>1789</v>
      </c>
      <c r="E335">
        <f>languages!A136</f>
        <v>135</v>
      </c>
    </row>
    <row r="336" spans="1:5" x14ac:dyDescent="0.35">
      <c r="A336">
        <v>335</v>
      </c>
      <c r="B336" t="s">
        <v>1790</v>
      </c>
      <c r="C336" t="s">
        <v>1791</v>
      </c>
      <c r="D336" t="s">
        <v>1792</v>
      </c>
      <c r="E336">
        <f>languages!A136</f>
        <v>135</v>
      </c>
    </row>
    <row r="337" spans="1:5" x14ac:dyDescent="0.35">
      <c r="A337">
        <v>336</v>
      </c>
      <c r="B337" t="s">
        <v>1793</v>
      </c>
      <c r="C337" t="s">
        <v>1794</v>
      </c>
      <c r="D337" t="s">
        <v>1795</v>
      </c>
      <c r="E337">
        <f>languages!A136</f>
        <v>135</v>
      </c>
    </row>
    <row r="338" spans="1:5" x14ac:dyDescent="0.35">
      <c r="A338">
        <v>337</v>
      </c>
      <c r="B338" t="s">
        <v>973</v>
      </c>
      <c r="C338" t="s">
        <v>975</v>
      </c>
      <c r="D338" t="s">
        <v>975</v>
      </c>
      <c r="E338">
        <f>languages!A137</f>
        <v>136</v>
      </c>
    </row>
    <row r="339" spans="1:5" x14ac:dyDescent="0.35">
      <c r="A339">
        <v>338</v>
      </c>
      <c r="B339" t="s">
        <v>1796</v>
      </c>
      <c r="C339" t="s">
        <v>1797</v>
      </c>
      <c r="D339" t="s">
        <v>1797</v>
      </c>
      <c r="E339">
        <f>languages!A137</f>
        <v>136</v>
      </c>
    </row>
    <row r="340" spans="1:5" x14ac:dyDescent="0.35">
      <c r="A340">
        <v>339</v>
      </c>
      <c r="B340" t="s">
        <v>977</v>
      </c>
      <c r="C340" t="s">
        <v>979</v>
      </c>
      <c r="D340" t="s">
        <v>980</v>
      </c>
      <c r="E340">
        <f>languages!A138</f>
        <v>137</v>
      </c>
    </row>
    <row r="341" spans="1:5" x14ac:dyDescent="0.35">
      <c r="A341">
        <v>340</v>
      </c>
      <c r="B341" t="s">
        <v>982</v>
      </c>
      <c r="C341" t="s">
        <v>984</v>
      </c>
      <c r="D341" t="s">
        <v>985</v>
      </c>
      <c r="E341">
        <f>languages!A139</f>
        <v>138</v>
      </c>
    </row>
    <row r="342" spans="1:5" x14ac:dyDescent="0.35">
      <c r="A342">
        <v>341</v>
      </c>
      <c r="B342" t="s">
        <v>987</v>
      </c>
      <c r="C342" t="s">
        <v>989</v>
      </c>
      <c r="D342" t="s">
        <v>990</v>
      </c>
      <c r="E342">
        <f>languages!A140</f>
        <v>139</v>
      </c>
    </row>
    <row r="343" spans="1:5" x14ac:dyDescent="0.35">
      <c r="A343">
        <v>342</v>
      </c>
      <c r="B343" t="s">
        <v>992</v>
      </c>
      <c r="C343" t="s">
        <v>994</v>
      </c>
      <c r="D343" t="s">
        <v>995</v>
      </c>
      <c r="E343">
        <f>languages!A141</f>
        <v>140</v>
      </c>
    </row>
    <row r="344" spans="1:5" x14ac:dyDescent="0.35">
      <c r="A344">
        <v>343</v>
      </c>
      <c r="B344" t="s">
        <v>997</v>
      </c>
      <c r="C344" t="s">
        <v>999</v>
      </c>
      <c r="D344" t="s">
        <v>1000</v>
      </c>
      <c r="E344">
        <f>languages!A142</f>
        <v>141</v>
      </c>
    </row>
    <row r="345" spans="1:5" x14ac:dyDescent="0.35">
      <c r="A345">
        <v>344</v>
      </c>
      <c r="B345" t="s">
        <v>1798</v>
      </c>
      <c r="C345" t="s">
        <v>1799</v>
      </c>
      <c r="D345" t="s">
        <v>1800</v>
      </c>
      <c r="E345">
        <f>languages!A142</f>
        <v>141</v>
      </c>
    </row>
    <row r="346" spans="1:5" x14ac:dyDescent="0.35">
      <c r="A346">
        <v>345</v>
      </c>
      <c r="B346" t="s">
        <v>1002</v>
      </c>
      <c r="C346" t="s">
        <v>302</v>
      </c>
      <c r="D346" t="s">
        <v>1004</v>
      </c>
      <c r="E346">
        <f>languages!A143</f>
        <v>142</v>
      </c>
    </row>
    <row r="347" spans="1:5" x14ac:dyDescent="0.35">
      <c r="A347">
        <v>346</v>
      </c>
      <c r="B347" t="s">
        <v>1801</v>
      </c>
      <c r="C347" t="s">
        <v>1802</v>
      </c>
      <c r="D347" t="s">
        <v>1803</v>
      </c>
      <c r="E347">
        <f>languages!A143</f>
        <v>142</v>
      </c>
    </row>
    <row r="348" spans="1:5" x14ac:dyDescent="0.35">
      <c r="A348">
        <v>347</v>
      </c>
      <c r="B348" t="s">
        <v>1006</v>
      </c>
      <c r="C348" t="s">
        <v>1008</v>
      </c>
      <c r="D348" t="s">
        <v>1009</v>
      </c>
      <c r="E348">
        <f>languages!A144</f>
        <v>143</v>
      </c>
    </row>
    <row r="349" spans="1:5" x14ac:dyDescent="0.35">
      <c r="A349">
        <v>348</v>
      </c>
      <c r="B349" t="s">
        <v>1804</v>
      </c>
      <c r="C349" t="s">
        <v>1805</v>
      </c>
      <c r="D349" t="s">
        <v>1806</v>
      </c>
      <c r="E349">
        <f>languages!A144</f>
        <v>143</v>
      </c>
    </row>
    <row r="350" spans="1:5" x14ac:dyDescent="0.35">
      <c r="A350">
        <v>349</v>
      </c>
      <c r="B350" t="s">
        <v>1011</v>
      </c>
      <c r="C350" t="s">
        <v>1807</v>
      </c>
      <c r="D350" t="s">
        <v>1014</v>
      </c>
      <c r="E350">
        <f>languages!A145</f>
        <v>144</v>
      </c>
    </row>
    <row r="351" spans="1:5" x14ac:dyDescent="0.35">
      <c r="A351">
        <v>350</v>
      </c>
      <c r="B351" t="s">
        <v>1808</v>
      </c>
      <c r="C351" t="s">
        <v>1809</v>
      </c>
      <c r="D351" t="s">
        <v>1810</v>
      </c>
      <c r="E351">
        <f>languages!A145</f>
        <v>144</v>
      </c>
    </row>
    <row r="352" spans="1:5" x14ac:dyDescent="0.35">
      <c r="A352">
        <v>351</v>
      </c>
      <c r="B352" t="s">
        <v>1016</v>
      </c>
      <c r="C352" t="s">
        <v>1018</v>
      </c>
      <c r="D352" t="s">
        <v>1019</v>
      </c>
      <c r="E352">
        <f>languages!A146</f>
        <v>145</v>
      </c>
    </row>
    <row r="353" spans="1:5" x14ac:dyDescent="0.35">
      <c r="A353">
        <v>352</v>
      </c>
      <c r="B353" t="s">
        <v>1021</v>
      </c>
      <c r="C353" t="s">
        <v>1023</v>
      </c>
      <c r="D353" t="s">
        <v>1024</v>
      </c>
      <c r="E353">
        <f>languages!A147</f>
        <v>146</v>
      </c>
    </row>
    <row r="354" spans="1:5" x14ac:dyDescent="0.35">
      <c r="A354">
        <v>353</v>
      </c>
      <c r="B354" t="s">
        <v>1811</v>
      </c>
      <c r="C354" t="s">
        <v>1812</v>
      </c>
      <c r="D354" t="s">
        <v>1813</v>
      </c>
      <c r="E354">
        <f>languages!A147</f>
        <v>146</v>
      </c>
    </row>
    <row r="355" spans="1:5" x14ac:dyDescent="0.35">
      <c r="A355">
        <v>354</v>
      </c>
      <c r="B355" t="s">
        <v>1026</v>
      </c>
      <c r="C355" t="s">
        <v>1028</v>
      </c>
      <c r="D355" t="s">
        <v>1029</v>
      </c>
      <c r="E355">
        <f>languages!A148</f>
        <v>147</v>
      </c>
    </row>
    <row r="356" spans="1:5" x14ac:dyDescent="0.35">
      <c r="A356">
        <v>355</v>
      </c>
      <c r="B356" t="s">
        <v>1814</v>
      </c>
      <c r="C356" t="s">
        <v>1815</v>
      </c>
      <c r="D356" t="s">
        <v>1816</v>
      </c>
      <c r="E356">
        <f>languages!A148</f>
        <v>147</v>
      </c>
    </row>
    <row r="357" spans="1:5" x14ac:dyDescent="0.35">
      <c r="A357">
        <v>356</v>
      </c>
      <c r="B357" t="s">
        <v>1817</v>
      </c>
      <c r="C357" t="s">
        <v>1818</v>
      </c>
      <c r="D357" t="s">
        <v>1819</v>
      </c>
      <c r="E357">
        <f>languages!A148</f>
        <v>147</v>
      </c>
    </row>
    <row r="358" spans="1:5" x14ac:dyDescent="0.35">
      <c r="A358">
        <v>357</v>
      </c>
      <c r="B358" t="s">
        <v>1820</v>
      </c>
      <c r="C358" t="s">
        <v>1821</v>
      </c>
      <c r="D358" t="s">
        <v>1822</v>
      </c>
      <c r="E358">
        <f>languages!A148</f>
        <v>147</v>
      </c>
    </row>
    <row r="359" spans="1:5" x14ac:dyDescent="0.35">
      <c r="A359">
        <v>358</v>
      </c>
      <c r="B359" t="s">
        <v>1823</v>
      </c>
      <c r="C359" t="s">
        <v>1824</v>
      </c>
      <c r="D359" t="s">
        <v>1825</v>
      </c>
      <c r="E359">
        <f>languages!A148</f>
        <v>147</v>
      </c>
    </row>
    <row r="360" spans="1:5" x14ac:dyDescent="0.35">
      <c r="A360">
        <v>359</v>
      </c>
      <c r="B360" t="s">
        <v>1031</v>
      </c>
      <c r="C360" t="s">
        <v>1033</v>
      </c>
      <c r="D360" t="s">
        <v>1034</v>
      </c>
      <c r="E360">
        <f>languages!A149</f>
        <v>148</v>
      </c>
    </row>
    <row r="361" spans="1:5" x14ac:dyDescent="0.35">
      <c r="A361">
        <v>360</v>
      </c>
      <c r="B361" t="s">
        <v>1826</v>
      </c>
      <c r="C361" t="s">
        <v>1827</v>
      </c>
      <c r="D361" t="s">
        <v>1828</v>
      </c>
      <c r="E361">
        <f>languages!A149</f>
        <v>148</v>
      </c>
    </row>
    <row r="362" spans="1:5" x14ac:dyDescent="0.35">
      <c r="A362">
        <v>361</v>
      </c>
      <c r="B362" t="s">
        <v>1036</v>
      </c>
      <c r="C362" t="s">
        <v>1038</v>
      </c>
      <c r="D362" t="s">
        <v>1039</v>
      </c>
      <c r="E362">
        <f>languages!A150</f>
        <v>149</v>
      </c>
    </row>
    <row r="363" spans="1:5" x14ac:dyDescent="0.35">
      <c r="A363">
        <v>362</v>
      </c>
      <c r="B363" t="s">
        <v>1041</v>
      </c>
      <c r="C363" t="s">
        <v>1043</v>
      </c>
      <c r="D363" t="s">
        <v>1044</v>
      </c>
      <c r="E363">
        <f>languages!A151</f>
        <v>150</v>
      </c>
    </row>
    <row r="364" spans="1:5" x14ac:dyDescent="0.35">
      <c r="A364">
        <v>363</v>
      </c>
      <c r="B364" t="s">
        <v>1046</v>
      </c>
      <c r="C364" t="s">
        <v>1048</v>
      </c>
      <c r="D364" t="s">
        <v>1049</v>
      </c>
      <c r="E364">
        <f>languages!A152</f>
        <v>151</v>
      </c>
    </row>
    <row r="365" spans="1:5" x14ac:dyDescent="0.35">
      <c r="A365">
        <v>364</v>
      </c>
      <c r="B365" t="s">
        <v>1051</v>
      </c>
      <c r="C365" t="s">
        <v>1053</v>
      </c>
      <c r="D365" t="s">
        <v>1054</v>
      </c>
      <c r="E365">
        <f>languages!A153</f>
        <v>152</v>
      </c>
    </row>
    <row r="366" spans="1:5" x14ac:dyDescent="0.35">
      <c r="A366">
        <v>365</v>
      </c>
      <c r="B366" t="s">
        <v>1056</v>
      </c>
      <c r="C366" t="s">
        <v>1058</v>
      </c>
      <c r="D366" t="s">
        <v>1059</v>
      </c>
      <c r="E366">
        <f>languages!A154</f>
        <v>153</v>
      </c>
    </row>
    <row r="367" spans="1:5" x14ac:dyDescent="0.35">
      <c r="A367">
        <v>366</v>
      </c>
      <c r="B367" t="s">
        <v>1829</v>
      </c>
      <c r="C367" t="s">
        <v>1830</v>
      </c>
      <c r="D367" t="s">
        <v>1831</v>
      </c>
      <c r="E367">
        <f>languages!A154</f>
        <v>153</v>
      </c>
    </row>
    <row r="368" spans="1:5" x14ac:dyDescent="0.35">
      <c r="A368">
        <v>367</v>
      </c>
      <c r="B368" t="s">
        <v>1832</v>
      </c>
      <c r="C368" t="s">
        <v>1833</v>
      </c>
      <c r="D368" t="s">
        <v>1834</v>
      </c>
      <c r="E368">
        <f>languages!A154</f>
        <v>153</v>
      </c>
    </row>
    <row r="369" spans="1:5" x14ac:dyDescent="0.35">
      <c r="A369">
        <v>368</v>
      </c>
      <c r="B369" t="s">
        <v>1061</v>
      </c>
      <c r="C369" t="s">
        <v>1063</v>
      </c>
      <c r="D369" t="s">
        <v>1064</v>
      </c>
      <c r="E369">
        <f>languages!A155</f>
        <v>154</v>
      </c>
    </row>
    <row r="370" spans="1:5" x14ac:dyDescent="0.35">
      <c r="A370">
        <v>369</v>
      </c>
      <c r="B370" t="s">
        <v>1835</v>
      </c>
      <c r="C370" t="s">
        <v>1836</v>
      </c>
      <c r="D370" t="s">
        <v>1837</v>
      </c>
      <c r="E370">
        <f>languages!A155</f>
        <v>154</v>
      </c>
    </row>
    <row r="371" spans="1:5" x14ac:dyDescent="0.35">
      <c r="A371">
        <v>370</v>
      </c>
      <c r="B371" t="s">
        <v>1838</v>
      </c>
      <c r="C371" t="s">
        <v>1839</v>
      </c>
      <c r="D371" t="s">
        <v>1840</v>
      </c>
      <c r="E371">
        <f>languages!A155</f>
        <v>154</v>
      </c>
    </row>
    <row r="372" spans="1:5" x14ac:dyDescent="0.35">
      <c r="A372">
        <v>371</v>
      </c>
      <c r="B372" t="s">
        <v>1066</v>
      </c>
      <c r="C372" t="s">
        <v>304</v>
      </c>
      <c r="D372" t="s">
        <v>1068</v>
      </c>
      <c r="E372">
        <f>languages!A156</f>
        <v>155</v>
      </c>
    </row>
    <row r="373" spans="1:5" x14ac:dyDescent="0.35">
      <c r="A373">
        <v>372</v>
      </c>
      <c r="B373" t="s">
        <v>1841</v>
      </c>
      <c r="C373" t="s">
        <v>1842</v>
      </c>
      <c r="D373" t="s">
        <v>1843</v>
      </c>
      <c r="E373">
        <f>languages!A156</f>
        <v>155</v>
      </c>
    </row>
    <row r="374" spans="1:5" x14ac:dyDescent="0.35">
      <c r="A374">
        <v>373</v>
      </c>
      <c r="B374" t="s">
        <v>1844</v>
      </c>
      <c r="C374" t="s">
        <v>1845</v>
      </c>
      <c r="D374" t="s">
        <v>1846</v>
      </c>
      <c r="E374">
        <f>languages!A156</f>
        <v>155</v>
      </c>
    </row>
    <row r="375" spans="1:5" x14ac:dyDescent="0.35">
      <c r="A375">
        <v>374</v>
      </c>
      <c r="B375" t="s">
        <v>1070</v>
      </c>
      <c r="C375" t="s">
        <v>306</v>
      </c>
      <c r="D375" t="s">
        <v>1072</v>
      </c>
      <c r="E375">
        <f>languages!A157</f>
        <v>156</v>
      </c>
    </row>
    <row r="376" spans="1:5" x14ac:dyDescent="0.35">
      <c r="A376">
        <v>375</v>
      </c>
      <c r="B376" t="s">
        <v>1847</v>
      </c>
      <c r="C376" t="s">
        <v>1848</v>
      </c>
      <c r="D376" t="s">
        <v>1849</v>
      </c>
      <c r="E376">
        <f>languages!A157</f>
        <v>156</v>
      </c>
    </row>
    <row r="377" spans="1:5" x14ac:dyDescent="0.35">
      <c r="A377">
        <v>376</v>
      </c>
      <c r="B377" t="s">
        <v>1074</v>
      </c>
      <c r="C377" t="s">
        <v>1076</v>
      </c>
      <c r="D377" t="s">
        <v>1077</v>
      </c>
      <c r="E377">
        <f>languages!A158</f>
        <v>157</v>
      </c>
    </row>
    <row r="378" spans="1:5" x14ac:dyDescent="0.35">
      <c r="A378">
        <v>377</v>
      </c>
      <c r="B378" t="s">
        <v>1079</v>
      </c>
      <c r="C378" t="s">
        <v>307</v>
      </c>
      <c r="D378" t="s">
        <v>1081</v>
      </c>
      <c r="E378">
        <f>languages!A159</f>
        <v>158</v>
      </c>
    </row>
    <row r="379" spans="1:5" x14ac:dyDescent="0.35">
      <c r="A379">
        <v>378</v>
      </c>
      <c r="B379" t="s">
        <v>1850</v>
      </c>
      <c r="C379" t="s">
        <v>1851</v>
      </c>
      <c r="D379" t="s">
        <v>1852</v>
      </c>
      <c r="E379">
        <f>languages!A159</f>
        <v>158</v>
      </c>
    </row>
    <row r="380" spans="1:5" x14ac:dyDescent="0.35">
      <c r="A380">
        <v>379</v>
      </c>
      <c r="B380" t="s">
        <v>1083</v>
      </c>
      <c r="C380" t="s">
        <v>1085</v>
      </c>
      <c r="D380" t="s">
        <v>1086</v>
      </c>
      <c r="E380">
        <f>languages!A160</f>
        <v>159</v>
      </c>
    </row>
    <row r="381" spans="1:5" x14ac:dyDescent="0.35">
      <c r="A381">
        <v>380</v>
      </c>
      <c r="B381" t="s">
        <v>1853</v>
      </c>
      <c r="C381" t="s">
        <v>1854</v>
      </c>
      <c r="D381" t="s">
        <v>1855</v>
      </c>
      <c r="E381">
        <f>languages!A160</f>
        <v>159</v>
      </c>
    </row>
    <row r="382" spans="1:5" x14ac:dyDescent="0.35">
      <c r="A382">
        <v>381</v>
      </c>
      <c r="B382" t="s">
        <v>1856</v>
      </c>
      <c r="C382" t="s">
        <v>1857</v>
      </c>
      <c r="D382" t="s">
        <v>1858</v>
      </c>
      <c r="E382">
        <f>languages!A160</f>
        <v>159</v>
      </c>
    </row>
    <row r="383" spans="1:5" x14ac:dyDescent="0.35">
      <c r="A383">
        <v>382</v>
      </c>
      <c r="B383" t="s">
        <v>1088</v>
      </c>
      <c r="C383" t="s">
        <v>1090</v>
      </c>
      <c r="D383" t="s">
        <v>1091</v>
      </c>
      <c r="E383">
        <f>languages!A161</f>
        <v>160</v>
      </c>
    </row>
    <row r="384" spans="1:5" x14ac:dyDescent="0.35">
      <c r="A384">
        <v>383</v>
      </c>
      <c r="B384" t="s">
        <v>1093</v>
      </c>
      <c r="C384" t="s">
        <v>1859</v>
      </c>
      <c r="D384" t="s">
        <v>1096</v>
      </c>
      <c r="E384">
        <f>languages!A162</f>
        <v>161</v>
      </c>
    </row>
    <row r="385" spans="1:5" x14ac:dyDescent="0.35">
      <c r="A385">
        <v>384</v>
      </c>
      <c r="B385" t="s">
        <v>1098</v>
      </c>
      <c r="C385" t="s">
        <v>1100</v>
      </c>
      <c r="D385" t="s">
        <v>1101</v>
      </c>
      <c r="E385">
        <f>languages!A163</f>
        <v>162</v>
      </c>
    </row>
    <row r="386" spans="1:5" x14ac:dyDescent="0.35">
      <c r="A386">
        <v>385</v>
      </c>
      <c r="B386" t="s">
        <v>1103</v>
      </c>
      <c r="C386" t="s">
        <v>1105</v>
      </c>
      <c r="D386" t="s">
        <v>1106</v>
      </c>
      <c r="E386">
        <f>languages!A164</f>
        <v>163</v>
      </c>
    </row>
    <row r="387" spans="1:5" x14ac:dyDescent="0.35">
      <c r="A387">
        <v>386</v>
      </c>
      <c r="B387" t="s">
        <v>1860</v>
      </c>
      <c r="C387" t="s">
        <v>1861</v>
      </c>
      <c r="D387" t="s">
        <v>1862</v>
      </c>
      <c r="E387">
        <f>languages!A164</f>
        <v>163</v>
      </c>
    </row>
    <row r="388" spans="1:5" x14ac:dyDescent="0.35">
      <c r="A388">
        <v>387</v>
      </c>
      <c r="B388" t="s">
        <v>1108</v>
      </c>
      <c r="C388" t="s">
        <v>1110</v>
      </c>
      <c r="D388" t="s">
        <v>1111</v>
      </c>
      <c r="E388">
        <f>languages!A165</f>
        <v>164</v>
      </c>
    </row>
    <row r="389" spans="1:5" x14ac:dyDescent="0.35">
      <c r="A389">
        <v>388</v>
      </c>
      <c r="B389" t="s">
        <v>1863</v>
      </c>
      <c r="C389" t="s">
        <v>1864</v>
      </c>
      <c r="D389" t="s">
        <v>1865</v>
      </c>
      <c r="E389">
        <f>languages!A165</f>
        <v>164</v>
      </c>
    </row>
    <row r="390" spans="1:5" x14ac:dyDescent="0.35">
      <c r="A390">
        <v>389</v>
      </c>
      <c r="B390" t="s">
        <v>1113</v>
      </c>
      <c r="C390" t="s">
        <v>1115</v>
      </c>
      <c r="D390" t="s">
        <v>1116</v>
      </c>
      <c r="E390">
        <f>languages!A166</f>
        <v>165</v>
      </c>
    </row>
    <row r="391" spans="1:5" x14ac:dyDescent="0.35">
      <c r="A391">
        <v>390</v>
      </c>
      <c r="B391" t="s">
        <v>1118</v>
      </c>
      <c r="C391" t="s">
        <v>1120</v>
      </c>
      <c r="D391" t="s">
        <v>1121</v>
      </c>
      <c r="E391">
        <f>languages!A167</f>
        <v>166</v>
      </c>
    </row>
    <row r="392" spans="1:5" x14ac:dyDescent="0.35">
      <c r="A392">
        <v>391</v>
      </c>
      <c r="B392" t="s">
        <v>1123</v>
      </c>
      <c r="C392" t="s">
        <v>1125</v>
      </c>
      <c r="D392" t="s">
        <v>1125</v>
      </c>
      <c r="E392">
        <f>languages!A168</f>
        <v>167</v>
      </c>
    </row>
    <row r="393" spans="1:5" x14ac:dyDescent="0.35">
      <c r="A393">
        <v>392</v>
      </c>
      <c r="B393" t="s">
        <v>1127</v>
      </c>
      <c r="C393" t="s">
        <v>1129</v>
      </c>
      <c r="D393" t="s">
        <v>1130</v>
      </c>
      <c r="E393">
        <f>languages!A169</f>
        <v>168</v>
      </c>
    </row>
    <row r="394" spans="1:5" x14ac:dyDescent="0.35">
      <c r="A394">
        <v>393</v>
      </c>
      <c r="B394" t="s">
        <v>1132</v>
      </c>
      <c r="C394" t="s">
        <v>1134</v>
      </c>
      <c r="D394" t="s">
        <v>1135</v>
      </c>
      <c r="E394">
        <f>languages!A170</f>
        <v>169</v>
      </c>
    </row>
    <row r="395" spans="1:5" x14ac:dyDescent="0.35">
      <c r="A395">
        <v>394</v>
      </c>
      <c r="B395" t="s">
        <v>1137</v>
      </c>
      <c r="C395" t="s">
        <v>1139</v>
      </c>
      <c r="D395" t="s">
        <v>1140</v>
      </c>
      <c r="E395">
        <f>languages!A171</f>
        <v>170</v>
      </c>
    </row>
    <row r="396" spans="1:5" x14ac:dyDescent="0.35">
      <c r="A396">
        <v>395</v>
      </c>
      <c r="B396" t="s">
        <v>1866</v>
      </c>
      <c r="C396" t="s">
        <v>1867</v>
      </c>
      <c r="D396" t="s">
        <v>1868</v>
      </c>
      <c r="E396">
        <f>languages!A171</f>
        <v>170</v>
      </c>
    </row>
    <row r="397" spans="1:5" x14ac:dyDescent="0.35">
      <c r="A397">
        <v>396</v>
      </c>
      <c r="B397" t="s">
        <v>1142</v>
      </c>
      <c r="C397" t="s">
        <v>1144</v>
      </c>
      <c r="D397" t="s">
        <v>1145</v>
      </c>
      <c r="E397">
        <f>languages!A172</f>
        <v>171</v>
      </c>
    </row>
    <row r="398" spans="1:5" x14ac:dyDescent="0.35">
      <c r="A398">
        <v>397</v>
      </c>
      <c r="B398" t="s">
        <v>1869</v>
      </c>
      <c r="C398" t="s">
        <v>1870</v>
      </c>
      <c r="D398" t="s">
        <v>1871</v>
      </c>
      <c r="E398">
        <f>languages!A172</f>
        <v>171</v>
      </c>
    </row>
    <row r="399" spans="1:5" x14ac:dyDescent="0.35">
      <c r="A399">
        <v>398</v>
      </c>
      <c r="B399" t="s">
        <v>1872</v>
      </c>
      <c r="C399" t="s">
        <v>1873</v>
      </c>
      <c r="D399" t="s">
        <v>1874</v>
      </c>
      <c r="E399">
        <f>languages!A172</f>
        <v>171</v>
      </c>
    </row>
    <row r="400" spans="1:5" x14ac:dyDescent="0.35">
      <c r="A400">
        <v>399</v>
      </c>
      <c r="B400" t="s">
        <v>1147</v>
      </c>
      <c r="C400" t="s">
        <v>1149</v>
      </c>
      <c r="D400" t="s">
        <v>1150</v>
      </c>
      <c r="E400">
        <f>languages!A173</f>
        <v>172</v>
      </c>
    </row>
    <row r="401" spans="1:6" x14ac:dyDescent="0.35">
      <c r="A401">
        <v>400</v>
      </c>
      <c r="B401" t="s">
        <v>1152</v>
      </c>
      <c r="C401" t="s">
        <v>1154</v>
      </c>
      <c r="D401" t="s">
        <v>1155</v>
      </c>
      <c r="E401">
        <f>languages!A174</f>
        <v>173</v>
      </c>
    </row>
    <row r="402" spans="1:6" x14ac:dyDescent="0.35">
      <c r="A402">
        <v>401</v>
      </c>
      <c r="B402" t="s">
        <v>1157</v>
      </c>
      <c r="C402" t="s">
        <v>1159</v>
      </c>
      <c r="D402" t="s">
        <v>1160</v>
      </c>
      <c r="E402">
        <f>languages!A175</f>
        <v>174</v>
      </c>
    </row>
    <row r="403" spans="1:6" x14ac:dyDescent="0.35">
      <c r="A403">
        <v>402</v>
      </c>
      <c r="B403" t="s">
        <v>1875</v>
      </c>
      <c r="C403" t="s">
        <v>1876</v>
      </c>
      <c r="D403" t="s">
        <v>1877</v>
      </c>
      <c r="E403">
        <f>languages!A175</f>
        <v>174</v>
      </c>
    </row>
    <row r="404" spans="1:6" x14ac:dyDescent="0.35">
      <c r="A404">
        <v>403</v>
      </c>
      <c r="B404" t="s">
        <v>1162</v>
      </c>
      <c r="C404" t="s">
        <v>1164</v>
      </c>
      <c r="D404" t="s">
        <v>1164</v>
      </c>
      <c r="E404">
        <f>languages!A176</f>
        <v>175</v>
      </c>
    </row>
    <row r="405" spans="1:6" x14ac:dyDescent="0.35">
      <c r="A405">
        <v>404</v>
      </c>
      <c r="B405" t="s">
        <v>1166</v>
      </c>
      <c r="C405" t="s">
        <v>1168</v>
      </c>
      <c r="D405" t="s">
        <v>1169</v>
      </c>
      <c r="E405">
        <f>languages!A177</f>
        <v>176</v>
      </c>
    </row>
    <row r="406" spans="1:6" x14ac:dyDescent="0.35">
      <c r="A406">
        <v>405</v>
      </c>
      <c r="B406" t="s">
        <v>1171</v>
      </c>
      <c r="C406" t="s">
        <v>1173</v>
      </c>
      <c r="D406" t="s">
        <v>1174</v>
      </c>
      <c r="E406">
        <f>languages!A178</f>
        <v>177</v>
      </c>
    </row>
    <row r="407" spans="1:6" x14ac:dyDescent="0.35">
      <c r="A407">
        <v>406</v>
      </c>
      <c r="B407" t="s">
        <v>1176</v>
      </c>
      <c r="C407" t="s">
        <v>1178</v>
      </c>
      <c r="D407" t="s">
        <v>1179</v>
      </c>
      <c r="E407">
        <f>languages!A179</f>
        <v>178</v>
      </c>
    </row>
    <row r="408" spans="1:6" x14ac:dyDescent="0.35">
      <c r="A408">
        <v>407</v>
      </c>
      <c r="B408" t="s">
        <v>1181</v>
      </c>
      <c r="C408" t="s">
        <v>1183</v>
      </c>
      <c r="D408" t="s">
        <v>1184</v>
      </c>
      <c r="E408">
        <f>languages!A180</f>
        <v>179</v>
      </c>
    </row>
    <row r="409" spans="1:6" x14ac:dyDescent="0.35">
      <c r="A409">
        <v>408</v>
      </c>
      <c r="B409" t="s">
        <v>1186</v>
      </c>
      <c r="C409" t="s">
        <v>1188</v>
      </c>
      <c r="D409" t="s">
        <v>1189</v>
      </c>
      <c r="E409">
        <f>languages!A181</f>
        <v>180</v>
      </c>
    </row>
    <row r="410" spans="1:6" x14ac:dyDescent="0.35">
      <c r="A410">
        <v>409</v>
      </c>
      <c r="B410" t="s">
        <v>1878</v>
      </c>
      <c r="C410" t="s">
        <v>1879</v>
      </c>
      <c r="D410" t="s">
        <v>1880</v>
      </c>
      <c r="E410">
        <f>languages!A181</f>
        <v>180</v>
      </c>
    </row>
    <row r="411" spans="1:6" x14ac:dyDescent="0.35">
      <c r="A411">
        <v>410</v>
      </c>
      <c r="B411" t="s">
        <v>1191</v>
      </c>
      <c r="C411" t="s">
        <v>1193</v>
      </c>
      <c r="D411" t="s">
        <v>1194</v>
      </c>
      <c r="E411">
        <f>languages!A182</f>
        <v>181</v>
      </c>
    </row>
    <row r="412" spans="1:6" x14ac:dyDescent="0.35">
      <c r="A412">
        <v>411</v>
      </c>
      <c r="B412" t="s">
        <v>1196</v>
      </c>
      <c r="C412" t="s">
        <v>1198</v>
      </c>
      <c r="D412" t="s">
        <v>1199</v>
      </c>
      <c r="E412">
        <f>languages!A183</f>
        <v>182</v>
      </c>
    </row>
    <row r="413" spans="1:6" x14ac:dyDescent="0.35">
      <c r="A413">
        <v>412</v>
      </c>
      <c r="B413" t="s">
        <v>1201</v>
      </c>
      <c r="C413" t="s">
        <v>1203</v>
      </c>
      <c r="D413" t="s">
        <v>1204</v>
      </c>
      <c r="E413">
        <f>languages!A184</f>
        <v>183</v>
      </c>
    </row>
    <row r="414" spans="1:6" x14ac:dyDescent="0.35">
      <c r="A414">
        <v>413</v>
      </c>
      <c r="B414" t="s">
        <v>1881</v>
      </c>
      <c r="C414" t="s">
        <v>1882</v>
      </c>
      <c r="D414" t="s">
        <v>1883</v>
      </c>
      <c r="E414">
        <f>languages!A184</f>
        <v>183</v>
      </c>
    </row>
    <row r="415" spans="1:6" x14ac:dyDescent="0.35">
      <c r="A415" t="s">
        <v>240</v>
      </c>
      <c r="F415">
        <f>SUBTOTAL(103,locales[id])</f>
        <v>413</v>
      </c>
    </row>
  </sheetData>
  <conditionalFormatting sqref="B1:B414 B416:B1048576">
    <cfRule type="duplicateValues" dxfId="1" priority="2"/>
  </conditionalFormatting>
  <conditionalFormatting sqref="A1:A414 A416:A1048576">
    <cfRule type="duplicateValues" dxfId="0" priority="1"/>
  </conditionalFormatting>
  <dataValidations count="1">
    <dataValidation type="list" allowBlank="1" showInputMessage="1" showErrorMessage="1" sqref="E2:E414" xr:uid="{45036249-71DB-461B-8AF9-56DADE9E8E0C}">
      <formula1>INDIRECT("languages[id]")</formula1>
    </dataValidation>
  </dataValidations>
  <pageMargins left="0.7" right="0.7" top="0.75" bottom="0.75" header="0.3" footer="0.3"/>
  <pageSetup orientation="portrait" horizontalDpi="1200" verticalDpi="120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lang_families</vt:lpstr>
      <vt:lpstr>lang_scopes</vt:lpstr>
      <vt:lpstr>lang_scripts</vt:lpstr>
      <vt:lpstr>lang_types</vt:lpstr>
      <vt:lpstr>languages</vt:lpstr>
      <vt:lpstr>locales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Dyo Wiranata Mulya</dc:creator>
  <cp:lastModifiedBy>Dyo Wiranata Mulya</cp:lastModifiedBy>
  <dcterms:created xsi:type="dcterms:W3CDTF">2015-06-05T18:17:20Z</dcterms:created>
  <dcterms:modified xsi:type="dcterms:W3CDTF">2025-11-22T19:20:00Z</dcterms:modified>
</cp:coreProperties>
</file>