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yo Wiranata Mulya\Documents\GitHub\@dyonmulya\resources\data\xlsx\"/>
    </mc:Choice>
  </mc:AlternateContent>
  <xr:revisionPtr revIDLastSave="0" documentId="13_ncr:1_{E90D7C89-713A-4572-82E8-D583ABA4BB9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1" i="1" l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2" i="1"/>
  <c r="C3" i="1"/>
</calcChain>
</file>

<file path=xl/sharedStrings.xml><?xml version="1.0" encoding="utf-8"?>
<sst xmlns="http://schemas.openxmlformats.org/spreadsheetml/2006/main" count="34" uniqueCount="34">
  <si>
    <t>id</t>
  </si>
  <si>
    <t>name</t>
  </si>
  <si>
    <t>Asia</t>
  </si>
  <si>
    <t>Europe</t>
  </si>
  <si>
    <t>Africa</t>
  </si>
  <si>
    <t>Oceania</t>
  </si>
  <si>
    <t>Americas</t>
  </si>
  <si>
    <t>un_code</t>
  </si>
  <si>
    <t>parent_id</t>
  </si>
  <si>
    <t>Northern Africa</t>
  </si>
  <si>
    <t>Sub-Saharan Africa</t>
  </si>
  <si>
    <t>Latin America and the Caribbean</t>
  </si>
  <si>
    <t>Northern America</t>
  </si>
  <si>
    <t>Central Asia</t>
  </si>
  <si>
    <t>Eastern Asia</t>
  </si>
  <si>
    <t>South-eastern Asia</t>
  </si>
  <si>
    <t>Southern Asia</t>
  </si>
  <si>
    <t>Western Asia</t>
  </si>
  <si>
    <t>Eastern Europe</t>
  </si>
  <si>
    <t>Northern Europe</t>
  </si>
  <si>
    <t>Southern Europe</t>
  </si>
  <si>
    <t>Western Europe</t>
  </si>
  <si>
    <t>Australia and New Zealand</t>
  </si>
  <si>
    <t>Melanesia</t>
  </si>
  <si>
    <t>Micronesia</t>
  </si>
  <si>
    <t>Polynesia</t>
  </si>
  <si>
    <t>Eastern Africa</t>
  </si>
  <si>
    <t>Middle Africa</t>
  </si>
  <si>
    <t>Southern Africa</t>
  </si>
  <si>
    <t>Western Africa</t>
  </si>
  <si>
    <t>Caribbean</t>
  </si>
  <si>
    <t>Central America</t>
  </si>
  <si>
    <t>South America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</si>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</sst>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9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164" formatCode="0;[Red]0"/>
    </dxf>
    <dxf>
      <numFmt numFmtId="164" formatCode="0;[Red]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943A0F-ACF4-4CB4-91A0-469A52C1BB3A}" name="regions" displayName="regions" ref="A1:D31" totalsRowCount="1">
  <autoFilter ref="A1:D30" xr:uid="{F8943A0F-ACF4-4CB4-91A0-469A52C1BB3A}"/>
  <tableColumns count="4">
    <tableColumn id="1" xr3:uid="{D73491C7-58DF-4093-92CF-D58ADBF542EF}" name="id" totalsRowLabel="Total" dataDxfId="4"/>
    <tableColumn id="2" xr3:uid="{91426EA8-F975-4D92-A187-47AA13B99F34}" name="parent_id" dataDxfId="3"/>
    <tableColumn id="3" xr3:uid="{1766251B-DCAA-4752-B428-FC6CFB679836}" name="un_code" dataDxfId="2"/>
    <tableColumn id="4" xr3:uid="{C474EC25-3AF8-41F4-89C7-5C55893FE384}" name="name" totalsRowFunction="count" dataDxfId="1"/>
  </tableColumns>
  <tableStyleInfo name="TableStyleMedium2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D8" sqref="D8"/>
    </sheetView>
  </sheetViews>
  <sheetFormatPr defaultRowHeight="14.5" x14ac:dyDescent="0.35"/>
  <cols>
    <col min="1" max="1" width="7.08984375" style="1" bestFit="1" customWidth="1"/>
    <col min="2" max="2" width="14.26953125" style="1" bestFit="1" customWidth="1"/>
    <col min="3" max="3" width="13.1796875" style="2" bestFit="1" customWidth="1"/>
    <col min="4" max="4" width="28.26953125" style="2" bestFit="1" customWidth="1"/>
  </cols>
  <sheetData>
    <row r="1" spans="1:4" s="5" customFormat="1" ht="15.5" x14ac:dyDescent="0.35">
      <c r="A1" s="3" t="s">
        <v>0</v>
      </c>
      <c r="B1" s="3" t="s">
        <v>8</v>
      </c>
      <c r="C1" s="4" t="s">
        <v>7</v>
      </c>
      <c r="D1" s="4" t="s">
        <v>1</v>
      </c>
    </row>
    <row r="2" spans="1:4" x14ac:dyDescent="0.35">
      <c r="A2" s="1">
        <v>1</v>
      </c>
      <c r="C2" s="2" t="str">
        <f>"002"</f>
        <v>002</v>
      </c>
      <c r="D2" s="2" t="s">
        <v>4</v>
      </c>
    </row>
    <row r="3" spans="1:4" x14ac:dyDescent="0.35">
      <c r="A3" s="1">
        <v>2</v>
      </c>
      <c r="C3" s="2" t="str">
        <f>"019"</f>
        <v>019</v>
      </c>
      <c r="D3" s="2" t="s">
        <v>6</v>
      </c>
    </row>
    <row r="4" spans="1:4" x14ac:dyDescent="0.35">
      <c r="A4" s="1">
        <v>3</v>
      </c>
      <c r="C4" s="2" t="str">
        <f>"142"</f>
        <v>142</v>
      </c>
      <c r="D4" s="2" t="s">
        <v>2</v>
      </c>
    </row>
    <row r="5" spans="1:4" x14ac:dyDescent="0.35">
      <c r="A5" s="1">
        <v>4</v>
      </c>
      <c r="C5" s="2" t="str">
        <f>"150"</f>
        <v>150</v>
      </c>
      <c r="D5" s="2" t="s">
        <v>3</v>
      </c>
    </row>
    <row r="6" spans="1:4" x14ac:dyDescent="0.35">
      <c r="A6" s="1">
        <v>5</v>
      </c>
      <c r="C6" s="2" t="str">
        <f>"009"</f>
        <v>009</v>
      </c>
      <c r="D6" s="2" t="s">
        <v>5</v>
      </c>
    </row>
    <row r="7" spans="1:4" x14ac:dyDescent="0.35">
      <c r="A7" s="1">
        <v>6</v>
      </c>
      <c r="B7" s="1">
        <v>1</v>
      </c>
      <c r="C7" s="2" t="str">
        <f>"015"</f>
        <v>015</v>
      </c>
      <c r="D7" s="2" t="s">
        <v>9</v>
      </c>
    </row>
    <row r="8" spans="1:4" x14ac:dyDescent="0.35">
      <c r="A8" s="1">
        <v>7</v>
      </c>
      <c r="B8" s="1">
        <v>1</v>
      </c>
      <c r="C8" s="2" t="str">
        <f>"202"</f>
        <v>202</v>
      </c>
      <c r="D8" s="2" t="s">
        <v>10</v>
      </c>
    </row>
    <row r="9" spans="1:4" x14ac:dyDescent="0.35">
      <c r="A9" s="1">
        <v>8</v>
      </c>
      <c r="B9" s="1">
        <v>2</v>
      </c>
      <c r="C9" s="2" t="str">
        <f>"419"</f>
        <v>419</v>
      </c>
      <c r="D9" s="2" t="s">
        <v>11</v>
      </c>
    </row>
    <row r="10" spans="1:4" x14ac:dyDescent="0.35">
      <c r="A10" s="1">
        <v>9</v>
      </c>
      <c r="B10" s="1">
        <v>2</v>
      </c>
      <c r="C10" s="2" t="str">
        <f>"021"</f>
        <v>021</v>
      </c>
      <c r="D10" s="2" t="s">
        <v>12</v>
      </c>
    </row>
    <row r="11" spans="1:4" x14ac:dyDescent="0.35">
      <c r="A11" s="1">
        <v>10</v>
      </c>
      <c r="B11" s="1">
        <v>3</v>
      </c>
      <c r="C11" s="2" t="str">
        <f>"143"</f>
        <v>143</v>
      </c>
      <c r="D11" s="2" t="s">
        <v>13</v>
      </c>
    </row>
    <row r="12" spans="1:4" x14ac:dyDescent="0.35">
      <c r="A12" s="1">
        <v>11</v>
      </c>
      <c r="B12" s="1">
        <v>3</v>
      </c>
      <c r="C12" s="2" t="str">
        <f>"030"</f>
        <v>030</v>
      </c>
      <c r="D12" s="2" t="s">
        <v>14</v>
      </c>
    </row>
    <row r="13" spans="1:4" x14ac:dyDescent="0.35">
      <c r="A13" s="1">
        <v>12</v>
      </c>
      <c r="B13" s="1">
        <v>3</v>
      </c>
      <c r="C13" s="2" t="str">
        <f>"035"</f>
        <v>035</v>
      </c>
      <c r="D13" s="2" t="s">
        <v>15</v>
      </c>
    </row>
    <row r="14" spans="1:4" x14ac:dyDescent="0.35">
      <c r="A14" s="1">
        <v>13</v>
      </c>
      <c r="B14" s="1">
        <v>3</v>
      </c>
      <c r="C14" s="2" t="str">
        <f>"034"</f>
        <v>034</v>
      </c>
      <c r="D14" s="2" t="s">
        <v>16</v>
      </c>
    </row>
    <row r="15" spans="1:4" x14ac:dyDescent="0.35">
      <c r="A15" s="1">
        <v>14</v>
      </c>
      <c r="B15" s="1">
        <v>3</v>
      </c>
      <c r="C15" s="2" t="str">
        <f>"145"</f>
        <v>145</v>
      </c>
      <c r="D15" s="2" t="s">
        <v>17</v>
      </c>
    </row>
    <row r="16" spans="1:4" x14ac:dyDescent="0.35">
      <c r="A16" s="1">
        <v>15</v>
      </c>
      <c r="B16" s="1">
        <v>4</v>
      </c>
      <c r="C16" s="2" t="str">
        <f>"151"</f>
        <v>151</v>
      </c>
      <c r="D16" s="2" t="s">
        <v>18</v>
      </c>
    </row>
    <row r="17" spans="1:4" x14ac:dyDescent="0.35">
      <c r="A17" s="1">
        <v>16</v>
      </c>
      <c r="B17" s="1">
        <v>4</v>
      </c>
      <c r="C17" s="2" t="str">
        <f>"154"</f>
        <v>154</v>
      </c>
      <c r="D17" s="2" t="s">
        <v>19</v>
      </c>
    </row>
    <row r="18" spans="1:4" x14ac:dyDescent="0.35">
      <c r="A18" s="1">
        <v>17</v>
      </c>
      <c r="B18" s="1">
        <v>4</v>
      </c>
      <c r="C18" s="2" t="str">
        <f>"039"</f>
        <v>039</v>
      </c>
      <c r="D18" s="2" t="s">
        <v>20</v>
      </c>
    </row>
    <row r="19" spans="1:4" x14ac:dyDescent="0.35">
      <c r="A19" s="1">
        <v>18</v>
      </c>
      <c r="B19" s="1">
        <v>4</v>
      </c>
      <c r="C19" s="2" t="str">
        <f>"155"</f>
        <v>155</v>
      </c>
      <c r="D19" s="2" t="s">
        <v>21</v>
      </c>
    </row>
    <row r="20" spans="1:4" x14ac:dyDescent="0.35">
      <c r="A20" s="1">
        <v>19</v>
      </c>
      <c r="B20" s="1">
        <v>5</v>
      </c>
      <c r="C20" s="2" t="str">
        <f>"053"</f>
        <v>053</v>
      </c>
      <c r="D20" s="2" t="s">
        <v>22</v>
      </c>
    </row>
    <row r="21" spans="1:4" x14ac:dyDescent="0.35">
      <c r="A21" s="1">
        <v>20</v>
      </c>
      <c r="B21" s="1">
        <v>5</v>
      </c>
      <c r="C21" s="2" t="str">
        <f>"054"</f>
        <v>054</v>
      </c>
      <c r="D21" s="2" t="s">
        <v>23</v>
      </c>
    </row>
    <row r="22" spans="1:4" x14ac:dyDescent="0.35">
      <c r="A22" s="1">
        <v>21</v>
      </c>
      <c r="B22" s="1">
        <v>5</v>
      </c>
      <c r="C22" s="2" t="str">
        <f>"057"</f>
        <v>057</v>
      </c>
      <c r="D22" s="2" t="s">
        <v>24</v>
      </c>
    </row>
    <row r="23" spans="1:4" x14ac:dyDescent="0.35">
      <c r="A23" s="1">
        <v>22</v>
      </c>
      <c r="B23" s="1">
        <v>5</v>
      </c>
      <c r="C23" s="2" t="str">
        <f>"061"</f>
        <v>061</v>
      </c>
      <c r="D23" s="2" t="s">
        <v>25</v>
      </c>
    </row>
    <row r="24" spans="1:4" x14ac:dyDescent="0.35">
      <c r="A24" s="1">
        <v>23</v>
      </c>
      <c r="B24" s="1">
        <v>7</v>
      </c>
      <c r="C24" s="2" t="str">
        <f>"014"</f>
        <v>014</v>
      </c>
      <c r="D24" s="2" t="s">
        <v>26</v>
      </c>
    </row>
    <row r="25" spans="1:4" x14ac:dyDescent="0.35">
      <c r="A25" s="1">
        <v>24</v>
      </c>
      <c r="B25" s="1">
        <v>7</v>
      </c>
      <c r="C25" s="2" t="str">
        <f>"017"</f>
        <v>017</v>
      </c>
      <c r="D25" s="2" t="s">
        <v>27</v>
      </c>
    </row>
    <row r="26" spans="1:4" x14ac:dyDescent="0.35">
      <c r="A26" s="1">
        <v>25</v>
      </c>
      <c r="B26" s="1">
        <v>7</v>
      </c>
      <c r="C26" s="2" t="str">
        <f>"018"</f>
        <v>018</v>
      </c>
      <c r="D26" s="2" t="s">
        <v>28</v>
      </c>
    </row>
    <row r="27" spans="1:4" x14ac:dyDescent="0.35">
      <c r="A27" s="1">
        <v>26</v>
      </c>
      <c r="B27" s="1">
        <v>7</v>
      </c>
      <c r="C27" s="2" t="str">
        <f>"011"</f>
        <v>011</v>
      </c>
      <c r="D27" s="2" t="s">
        <v>29</v>
      </c>
    </row>
    <row r="28" spans="1:4" x14ac:dyDescent="0.35">
      <c r="A28" s="1">
        <v>27</v>
      </c>
      <c r="B28" s="1">
        <v>8</v>
      </c>
      <c r="C28" s="2" t="str">
        <f>"029"</f>
        <v>029</v>
      </c>
      <c r="D28" s="2" t="s">
        <v>30</v>
      </c>
    </row>
    <row r="29" spans="1:4" x14ac:dyDescent="0.35">
      <c r="A29" s="1">
        <v>28</v>
      </c>
      <c r="B29" s="1">
        <v>8</v>
      </c>
      <c r="C29" s="2" t="str">
        <f>"013"</f>
        <v>013</v>
      </c>
      <c r="D29" s="2" t="s">
        <v>31</v>
      </c>
    </row>
    <row r="30" spans="1:4" x14ac:dyDescent="0.35">
      <c r="A30" s="1">
        <v>29</v>
      </c>
      <c r="B30" s="1">
        <v>8</v>
      </c>
      <c r="C30" s="2" t="str">
        <f>"005"</f>
        <v>005</v>
      </c>
      <c r="D30" s="2" t="s">
        <v>32</v>
      </c>
    </row>
    <row r="31" spans="1:4" x14ac:dyDescent="0.35">
      <c r="A31" t="s">
        <v>33</v>
      </c>
      <c r="B31"/>
      <c r="C31"/>
      <c r="D31">
        <f>SUBTOTAL(103,regions[name])</f>
        <v>29</v>
      </c>
    </row>
  </sheetData>
  <conditionalFormatting sqref="C1:C30 C32:C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Regions</dc:title>
  <dc:creator>Dyo Wiranata Mulya</dc:creator>
  <cp:keywords>adm,dyonmulya</cp:keywords>
  <cp:lastModifiedBy>Dyo Wiranata Mulya</cp:lastModifiedBy>
  <dcterms:created xsi:type="dcterms:W3CDTF">2015-06-05T18:17:20Z</dcterms:created>
  <dcterms:modified xsi:type="dcterms:W3CDTF">2025-11-16T13:58:59Z</dcterms:modified>
  <cp:category>administrative</cp:category>
</cp:coreProperties>
</file>